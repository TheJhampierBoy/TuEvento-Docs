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Casos de prueba" sheetId="2" state="visible" r:id="rId4"/>
  </sheets>
  <definedNames>
    <definedName function="false" hidden="true" localSheetId="1" name="_xlnm._FilterDatabase" vbProcedure="false">'Casos de prueba'!$A$1:$O$152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<sst xmlns="http://schemas.openxmlformats.org/spreadsheetml/2006/main" count="1720" uniqueCount="881">
  <si>
    <t xml:space="preserve">Resumen de ejecución — Tu Evento</t>
  </si>
  <si>
    <t xml:space="preserve">Los totales se calculan solos desde la hoja «Casos de prueba». Solo edita las columnas Resultado obtenido, Estado, Fecha, Responsable y Observaciones. El estado se elige de la lista.</t>
  </si>
  <si>
    <t xml:space="preserve">Módulo</t>
  </si>
  <si>
    <t xml:space="preserve">Total</t>
  </si>
  <si>
    <t xml:space="preserve">Aprobados</t>
  </si>
  <si>
    <t xml:space="preserve">Fallidos</t>
  </si>
  <si>
    <t xml:space="preserve">Bloqueados</t>
  </si>
  <si>
    <t xml:space="preserve">Pendientes</t>
  </si>
  <si>
    <t xml:space="preserve">% Aprobado</t>
  </si>
  <si>
    <t xml:space="preserve">Autenticación</t>
  </si>
  <si>
    <t xml:space="preserve">Usuarios</t>
  </si>
  <si>
    <t xml:space="preserve">Administración</t>
  </si>
  <si>
    <t xml:space="preserve">Perfil</t>
  </si>
  <si>
    <t xml:space="preserve">Eventos</t>
  </si>
  <si>
    <t xml:space="preserve">Media y layout</t>
  </si>
  <si>
    <t xml:space="preserve">Ratings y comentarios</t>
  </si>
  <si>
    <t xml:space="preserve">Categorías y sitios</t>
  </si>
  <si>
    <t xml:space="preserve">Secciones y sillas</t>
  </si>
  <si>
    <t xml:space="preserve">Órdenes y tickets</t>
  </si>
  <si>
    <t xml:space="preserve">Pagos</t>
  </si>
  <si>
    <t xml:space="preserve">Wallet</t>
  </si>
  <si>
    <t xml:space="preserve">Notificaciones</t>
  </si>
  <si>
    <t xml:space="preserve">Temas e idiomas</t>
  </si>
  <si>
    <t xml:space="preserve">Seguridad y almacenamiento</t>
  </si>
  <si>
    <t xml:space="preserve">TOTAL</t>
  </si>
  <si>
    <t xml:space="preserve">Por tipo de prueba</t>
  </si>
  <si>
    <t xml:space="preserve">Tipo</t>
  </si>
  <si>
    <t xml:space="preserve">Positivo</t>
  </si>
  <si>
    <t xml:space="preserve">Negativo</t>
  </si>
  <si>
    <t xml:space="preserve">Límite</t>
  </si>
  <si>
    <t xml:space="preserve">Seguridad</t>
  </si>
  <si>
    <t xml:space="preserve">Concurrencia</t>
  </si>
  <si>
    <t xml:space="preserve">Integración</t>
  </si>
  <si>
    <t xml:space="preserve">Casos que verifican huecos conocidos (se espera que fallen hoy)</t>
  </si>
  <si>
    <t xml:space="preserve">Ver la columna Observaciones con el texto «Hueco conocido» en la hoja de casos.</t>
  </si>
  <si>
    <t xml:space="preserve">ID</t>
  </si>
  <si>
    <t xml:space="preserve">Requisito / referencia</t>
  </si>
  <si>
    <t xml:space="preserve">Prioridad</t>
  </si>
  <si>
    <t xml:space="preserve">Descripción</t>
  </si>
  <si>
    <t xml:space="preserve">Precondiciones</t>
  </si>
  <si>
    <t xml:space="preserve">Pasos</t>
  </si>
  <si>
    <t xml:space="preserve">Datos de entrada</t>
  </si>
  <si>
    <t xml:space="preserve">Resultado esperado</t>
  </si>
  <si>
    <t xml:space="preserve">Resultado obtenido</t>
  </si>
  <si>
    <t xml:space="preserve">Estado</t>
  </si>
  <si>
    <t xml:space="preserve">Fecha</t>
  </si>
  <si>
    <t xml:space="preserve">Responsable</t>
  </si>
  <si>
    <t xml:space="preserve">Observaciones</t>
  </si>
  <si>
    <t xml:space="preserve">CP-AUT-01</t>
  </si>
  <si>
    <t xml:space="preserve">3.1 /register</t>
  </si>
  <si>
    <t xml:space="preserve">Alta</t>
  </si>
  <si>
    <t xml:space="preserve">Registro exitoso con Gmail y datos válidos</t>
  </si>
  <si>
    <t xml:space="preserve">Correo no registrado</t>
  </si>
  <si>
    <t xml:space="preserve">1. POST /api/v1/auth/register
2. Revisar el correo de activación</t>
  </si>
  <si>
    <t xml:space="preserve">email: nuevo.usuario@gmail.com
password: Clave#2026
fullName: Cristofer Lozano</t>
  </si>
  <si>
    <t xml:space="preserve">201. Cuenta creada pendiente de activación y correo con código enviado</t>
  </si>
  <si>
    <t xml:space="preserve">Pendiente</t>
  </si>
  <si>
    <t xml:space="preserve">CP-AUT-02</t>
  </si>
  <si>
    <t xml:space="preserve">Registro con correo que no es Gmail</t>
  </si>
  <si>
    <t xml:space="preserve">Ninguna</t>
  </si>
  <si>
    <t xml:space="preserve">1. POST /register con correo de otro dominio</t>
  </si>
  <si>
    <t xml:space="preserve">email: ana@hotmail.com</t>
  </si>
  <si>
    <t xml:space="preserve">400 INVALID_EMAIL</t>
  </si>
  <si>
    <t xml:space="preserve">CP-AUT-03</t>
  </si>
  <si>
    <t xml:space="preserve">4 Cuenta</t>
  </si>
  <si>
    <t xml:space="preserve">Registro con contraseña que incumple la política</t>
  </si>
  <si>
    <t xml:space="preserve">1. POST /register con clave sin mayúscula, dígito ni especial</t>
  </si>
  <si>
    <t xml:space="preserve">password: clave1234</t>
  </si>
  <si>
    <t xml:space="preserve">400 INVALID_PASSWORD</t>
  </si>
  <si>
    <t xml:space="preserve">CP-AUT-04</t>
  </si>
  <si>
    <t xml:space="preserve">Media</t>
  </si>
  <si>
    <t xml:space="preserve">Registro con nombre de una sola palabra o con números</t>
  </si>
  <si>
    <t xml:space="preserve">1. POST /register con fullName inválido</t>
  </si>
  <si>
    <t xml:space="preserve">fullName: Juan / Ju4n P3r3z</t>
  </si>
  <si>
    <t xml:space="preserve">400 INVALID_NAME</t>
  </si>
  <si>
    <t xml:space="preserve">CP-AUT-05</t>
  </si>
  <si>
    <t xml:space="preserve">Nombre de 31 caracteres (límite máximo 30)</t>
  </si>
  <si>
    <t xml:space="preserve">1. POST /register con nombre de 31 caracteres</t>
  </si>
  <si>
    <t xml:space="preserve">fullName: 31 caracteres alfabéticos en dos palabras</t>
  </si>
  <si>
    <t xml:space="preserve">400 INVALID_NAME. Con 30 caracteres exactos debe aceptarse</t>
  </si>
  <si>
    <t xml:space="preserve">CP-AUT-06</t>
  </si>
  <si>
    <t xml:space="preserve">Registro con correo ya existente</t>
  </si>
  <si>
    <t xml:space="preserve">Usuario ya registrado</t>
  </si>
  <si>
    <t xml:space="preserve">1. POST /register con el mismo correo</t>
  </si>
  <si>
    <t xml:space="preserve">email existente</t>
  </si>
  <si>
    <t xml:space="preserve">400 EMAIL_ALREADY_EXISTS</t>
  </si>
  <si>
    <t xml:space="preserve">CP-AUT-07</t>
  </si>
  <si>
    <t xml:space="preserve">3.1 /activate</t>
  </si>
  <si>
    <t xml:space="preserve">Activación de cuenta con código válido</t>
  </si>
  <si>
    <t xml:space="preserve">Usuario registrado sin activar</t>
  </si>
  <si>
    <t xml:space="preserve">1. POST /activate con el código del correo
2. Iniciar sesión</t>
  </si>
  <si>
    <t xml:space="preserve">email + activationCode válido</t>
  </si>
  <si>
    <t xml:space="preserve">200. La cuenta queda activa y el login funciona</t>
  </si>
  <si>
    <t xml:space="preserve">CP-AUT-08</t>
  </si>
  <si>
    <t xml:space="preserve">Activación con código incorrecto</t>
  </si>
  <si>
    <t xml:space="preserve">1. POST /activate con código errado</t>
  </si>
  <si>
    <t xml:space="preserve">activationCode: 000000</t>
  </si>
  <si>
    <t xml:space="preserve">400 INVALID_ACTIVATION_CODE</t>
  </si>
  <si>
    <t xml:space="preserve">CP-AUT-09</t>
  </si>
  <si>
    <t xml:space="preserve">Activación con código vencido</t>
  </si>
  <si>
    <t xml:space="preserve">Código generado y vencido</t>
  </si>
  <si>
    <t xml:space="preserve">1. Esperar el vencimiento
2. POST /activate</t>
  </si>
  <si>
    <t xml:space="preserve">código vencido</t>
  </si>
  <si>
    <t xml:space="preserve">400 ACTIVATION_CODE_EXPIRED</t>
  </si>
  <si>
    <t xml:space="preserve">CP-AUT-10</t>
  </si>
  <si>
    <t xml:space="preserve">Baja</t>
  </si>
  <si>
    <t xml:space="preserve">Activar una cuenta que ya está activa</t>
  </si>
  <si>
    <t xml:space="preserve">Cuenta activa</t>
  </si>
  <si>
    <t xml:space="preserve">1. POST /activate</t>
  </si>
  <si>
    <t xml:space="preserve">email de cuenta activa</t>
  </si>
  <si>
    <t xml:space="preserve">400 ACCOUNT_ALREADY_ACTIVATED</t>
  </si>
  <si>
    <t xml:space="preserve">CP-AUT-11</t>
  </si>
  <si>
    <t xml:space="preserve">3.1 /resend-activation</t>
  </si>
  <si>
    <t xml:space="preserve">Reenviar activación a cuenta ya activada</t>
  </si>
  <si>
    <t xml:space="preserve">1. POST /resend-activation</t>
  </si>
  <si>
    <t xml:space="preserve">400 EMAIL_ALREADY_ACTIVATED</t>
  </si>
  <si>
    <t xml:space="preserve">CP-AUT-12</t>
  </si>
  <si>
    <t xml:space="preserve">3.1 /login</t>
  </si>
  <si>
    <t xml:space="preserve">Login exitoso</t>
  </si>
  <si>
    <t xml:space="preserve">1. POST /login con credenciales válidas</t>
  </si>
  <si>
    <t xml:space="preserve">email + password correctos</t>
  </si>
  <si>
    <t xml:space="preserve">200 con accessToken, refreshToken, userId, alias y role</t>
  </si>
  <si>
    <t xml:space="preserve">CP-AUT-13</t>
  </si>
  <si>
    <t xml:space="preserve">Login con cuenta sin activar</t>
  </si>
  <si>
    <t xml:space="preserve">Cuenta registrada sin activar</t>
  </si>
  <si>
    <t xml:space="preserve">1. POST /login</t>
  </si>
  <si>
    <t xml:space="preserve">credenciales correctas</t>
  </si>
  <si>
    <t xml:space="preserve">400 ACCOUNT_NOT_ACTIVATED</t>
  </si>
  <si>
    <t xml:space="preserve">CP-AUT-14</t>
  </si>
  <si>
    <t xml:space="preserve">Login con correo inexistente</t>
  </si>
  <si>
    <t xml:space="preserve">email no registrado</t>
  </si>
  <si>
    <t xml:space="preserve">404 USER_NOT_FOUND</t>
  </si>
  <si>
    <t xml:space="preserve">CP-AUT-15</t>
  </si>
  <si>
    <t xml:space="preserve">Login con contraseña incorrecta</t>
  </si>
  <si>
    <t xml:space="preserve">1. POST /login con clave errada</t>
  </si>
  <si>
    <t xml:space="preserve">password incorrecto</t>
  </si>
  <si>
    <t xml:space="preserve">400 INVALID_CREDENTIALS</t>
  </si>
  <si>
    <t xml:space="preserve">CP-AUT-16</t>
  </si>
  <si>
    <t xml:space="preserve">Bloqueo tras 5 intentos fallidos en 15 minutos</t>
  </si>
  <si>
    <t xml:space="preserve">1. Hacer 5 logins fallidos seguidos
2. Intentar un sexto login con clave correcta
3. Esperar el tiempo de bloqueo
4. Reintentar</t>
  </si>
  <si>
    <t xml:space="preserve">clave incorrecta x5</t>
  </si>
  <si>
    <t xml:space="preserve">400 ACCOUNT_LOCKED en el sexto intento. Se desbloquea al vencer el plazo</t>
  </si>
  <si>
    <t xml:space="preserve">El bloqueo hoy dura 1 minuto (TODO volver a 30)</t>
  </si>
  <si>
    <t xml:space="preserve">CP-AUT-17</t>
  </si>
  <si>
    <t xml:space="preserve">Login con cuenta bloqueada, desactivada o eliminada</t>
  </si>
  <si>
    <t xml:space="preserve">Cuentas en cada estado</t>
  </si>
  <si>
    <t xml:space="preserve">1. POST /login con cada cuenta</t>
  </si>
  <si>
    <t xml:space="preserve">400 ACCOUNT_BLOCKED / ACCOUNT_DEACTIVATED / ACCOUNT_DELETED según el caso</t>
  </si>
  <si>
    <t xml:space="preserve">CP-AUT-18</t>
  </si>
  <si>
    <t xml:space="preserve">3.1 /refresh</t>
  </si>
  <si>
    <t xml:space="preserve">Renovar tokens con refresh token válido</t>
  </si>
  <si>
    <t xml:space="preserve">Sesión iniciada</t>
  </si>
  <si>
    <t xml:space="preserve">1. POST /refresh con el refreshToken</t>
  </si>
  <si>
    <t xml:space="preserve">refreshToken vigente</t>
  </si>
  <si>
    <t xml:space="preserve">200 con nuevos tokens</t>
  </si>
  <si>
    <t xml:space="preserve">CP-AUT-19</t>
  </si>
  <si>
    <t xml:space="preserve">Refresh con token revocado tras logout</t>
  </si>
  <si>
    <t xml:space="preserve">Logout realizado</t>
  </si>
  <si>
    <t xml:space="preserve">1. POST /logout
2. POST /refresh con el token anterior</t>
  </si>
  <si>
    <t xml:space="preserve">refreshToken revocado</t>
  </si>
  <si>
    <t xml:space="preserve">400 REFRESH_TOKEN_REVOKED</t>
  </si>
  <si>
    <t xml:space="preserve">CP-AUT-20</t>
  </si>
  <si>
    <t xml:space="preserve">Refresh con token vencido</t>
  </si>
  <si>
    <t xml:space="preserve">Refresh token con más de 7 días</t>
  </si>
  <si>
    <t xml:space="preserve">1. POST /refresh</t>
  </si>
  <si>
    <t xml:space="preserve">refreshToken vencido</t>
  </si>
  <si>
    <t xml:space="preserve">400 REFRESH_TOKEN_EXPIRED</t>
  </si>
  <si>
    <t xml:space="preserve">CP-AUT-21</t>
  </si>
  <si>
    <t xml:space="preserve">6 Registro/login</t>
  </si>
  <si>
    <t xml:space="preserve">Logout sincronizado entre pestañas (web)</t>
  </si>
  <si>
    <t xml:space="preserve">Dos pestañas con sesión</t>
  </si>
  <si>
    <t xml:space="preserve">1. Cerrar sesión en la pestaña A
2. Observar la pestaña B</t>
  </si>
  <si>
    <t xml:space="preserve">—</t>
  </si>
  <si>
    <t xml:space="preserve">La pestaña B redirige a /login</t>
  </si>
  <si>
    <t xml:space="preserve">CP-AUT-22</t>
  </si>
  <si>
    <t xml:space="preserve">JWT de acceso vencido provoca refresh automático (web)</t>
  </si>
  <si>
    <t xml:space="preserve">Sesión con access token de 15 min vencido</t>
  </si>
  <si>
    <t xml:space="preserve">1. Esperar 15 min
2. Ejecutar una acción protegida</t>
  </si>
  <si>
    <t xml:space="preserve">El cliente recibe 401, renueva con refresh y repite la acción sin cerrar sesión. Si el refresh falla, hace logout</t>
  </si>
  <si>
    <t xml:space="preserve">CP-AUT-23</t>
  </si>
  <si>
    <t xml:space="preserve">3.1 /recover-password</t>
  </si>
  <si>
    <t xml:space="preserve">Recuperación de contraseña no revela si el correo existe</t>
  </si>
  <si>
    <t xml:space="preserve">Un correo registrado y otro no</t>
  </si>
  <si>
    <t xml:space="preserve">1. POST /recover-password con cada correo</t>
  </si>
  <si>
    <t xml:space="preserve">email existente / inexistente</t>
  </si>
  <si>
    <t xml:space="preserve">200 con el mismo mensaje genérico en ambos casos</t>
  </si>
  <si>
    <t xml:space="preserve">CP-AUT-24</t>
  </si>
  <si>
    <t xml:space="preserve">3.1 /reset-password</t>
  </si>
  <si>
    <t xml:space="preserve">Restablecer contraseña con código válido</t>
  </si>
  <si>
    <t xml:space="preserve">Código de recuperación recibido</t>
  </si>
  <si>
    <t xml:space="preserve">1. POST /reset-password
2. Login con la nueva clave</t>
  </si>
  <si>
    <t xml:space="preserve">código + clave nueva y confirmación</t>
  </si>
  <si>
    <t xml:space="preserve">200 y login exitoso con la nueva clave</t>
  </si>
  <si>
    <t xml:space="preserve">CP-AUT-25</t>
  </si>
  <si>
    <t xml:space="preserve">Restablecer con código ya usado o vencido</t>
  </si>
  <si>
    <t xml:space="preserve">Código usado / vencido</t>
  </si>
  <si>
    <t xml:space="preserve">1. POST /reset-password</t>
  </si>
  <si>
    <t xml:space="preserve">código reutilizado o vencido</t>
  </si>
  <si>
    <t xml:space="preserve">400 RECOVERY_CODE_USED / RECOVERY_CODE_EXPIRED</t>
  </si>
  <si>
    <t xml:space="preserve">CP-AUT-26</t>
  </si>
  <si>
    <t xml:space="preserve">Restablecer con contraseñas que no coinciden</t>
  </si>
  <si>
    <t xml:space="preserve">Código válido</t>
  </si>
  <si>
    <t xml:space="preserve">nueva ≠ confirmación</t>
  </si>
  <si>
    <t xml:space="preserve">400 PASSWORD_MISMATCH</t>
  </si>
  <si>
    <t xml:space="preserve">CP-AUT-27</t>
  </si>
  <si>
    <t xml:space="preserve">3.1 /oauth</t>
  </si>
  <si>
    <t xml:space="preserve">Login con Google por OAuth2 (web)</t>
  </si>
  <si>
    <t xml:space="preserve">Credenciales de Google configuradas</t>
  </si>
  <si>
    <t xml:space="preserve">1. Pulsar «Continuar con Google» en /login
2. Autorizar</t>
  </si>
  <si>
    <t xml:space="preserve">cuenta Google válida</t>
  </si>
  <si>
    <t xml:space="preserve">302 a /login?oauth=true&amp;token=... y sesión iniciada</t>
  </si>
  <si>
    <t xml:space="preserve">CP-AUT-28</t>
  </si>
  <si>
    <t xml:space="preserve">8 Bordes</t>
  </si>
  <si>
    <t xml:space="preserve">Open redirect: frontend_redirect_uri fuera de la lista permitida</t>
  </si>
  <si>
    <t xml:space="preserve">1. GET /oauth/google con frontend_redirect_uri externo</t>
  </si>
  <si>
    <t xml:space="preserve">frontend_redirect_uri: https://sitio-malicioso.com</t>
  </si>
  <si>
    <t xml:space="preserve">La petición se rechaza. Nunca redirige al dominio externo</t>
  </si>
  <si>
    <t xml:space="preserve">CP-AUT-29</t>
  </si>
  <si>
    <t xml:space="preserve">3.1 /google</t>
  </si>
  <si>
    <t xml:space="preserve">Login con ID token de Google inválido</t>
  </si>
  <si>
    <t xml:space="preserve">1. POST /google con token alterado</t>
  </si>
  <si>
    <t xml:space="preserve">token inválido</t>
  </si>
  <si>
    <t xml:space="preserve">400 GOOGLE_TOKEN_INVALID</t>
  </si>
  <si>
    <t xml:space="preserve">CP-AUT-30</t>
  </si>
  <si>
    <t xml:space="preserve">Onboarding cuando el nombre de OAuth no cumple las reglas</t>
  </si>
  <si>
    <t xml:space="preserve">Cuenta Google con nombre de una palabra</t>
  </si>
  <si>
    <t xml:space="preserve">1. Login con Google</t>
  </si>
  <si>
    <t xml:space="preserve">Respuesta needsOnboarding y la web lleva a /complete-profile</t>
  </si>
  <si>
    <t xml:space="preserve">CP-AUT-31</t>
  </si>
  <si>
    <t xml:space="preserve">3.1 /reactivate</t>
  </si>
  <si>
    <t xml:space="preserve">Reactivación de cuenta inactiva</t>
  </si>
  <si>
    <t xml:space="preserve">Cuenta INACTIVE</t>
  </si>
  <si>
    <t xml:space="preserve">1. POST /reactivate-request
2. POST /reactivate-confirm con el token del correo
3. Login</t>
  </si>
  <si>
    <t xml:space="preserve">email + token</t>
  </si>
  <si>
    <t xml:space="preserve">200 en ambos pasos y el login vuelve a funcionar</t>
  </si>
  <si>
    <t xml:space="preserve">CP-AUT-32</t>
  </si>
  <si>
    <t xml:space="preserve">Reactivación no permite enumerar usuarios</t>
  </si>
  <si>
    <t xml:space="preserve">1. POST /reactivate-request con cada correo</t>
  </si>
  <si>
    <t xml:space="preserve">200 siempre, con el mismo mensaje</t>
  </si>
  <si>
    <t xml:space="preserve">CP-USR-01</t>
  </si>
  <si>
    <t xml:space="preserve">3.2 /change-password</t>
  </si>
  <si>
    <t xml:space="preserve">Cambio de contraseña exitoso</t>
  </si>
  <si>
    <t xml:space="preserve">1. POST /users/change-password</t>
  </si>
  <si>
    <t xml:space="preserve">actual correcta, nueva válida y confirmación</t>
  </si>
  <si>
    <t xml:space="preserve">200. El login con la nueva clave funciona</t>
  </si>
  <si>
    <t xml:space="preserve">CP-USR-02</t>
  </si>
  <si>
    <t xml:space="preserve">Cambio con contraseña actual incorrecta</t>
  </si>
  <si>
    <t xml:space="preserve">actual errada</t>
  </si>
  <si>
    <t xml:space="preserve">400 INVALID_CURRENT_PASSWORD</t>
  </si>
  <si>
    <t xml:space="preserve">CP-USR-03</t>
  </si>
  <si>
    <t xml:space="preserve">Reutilizar una contraseña reciente</t>
  </si>
  <si>
    <t xml:space="preserve">Historial de contraseñas</t>
  </si>
  <si>
    <t xml:space="preserve">1. Cambiar a la contraseña anterior</t>
  </si>
  <si>
    <t xml:space="preserve">nueva = una de las últimas</t>
  </si>
  <si>
    <t xml:space="preserve">400 PASSWORD_RECENTLY_USED</t>
  </si>
  <si>
    <t xml:space="preserve">CP-USR-04</t>
  </si>
  <si>
    <t xml:space="preserve">3.2 /oauth/link</t>
  </si>
  <si>
    <t xml:space="preserve">Vincular un proveedor OAuth ya vinculado</t>
  </si>
  <si>
    <t xml:space="preserve">Cuenta con Google vinculado</t>
  </si>
  <si>
    <t xml:space="preserve">1. POST /users/oauth/link con el mismo proveedor</t>
  </si>
  <si>
    <t xml:space="preserve">provider: google</t>
  </si>
  <si>
    <t xml:space="preserve">400 OAUTH_ALREADY_LINKED</t>
  </si>
  <si>
    <t xml:space="preserve">CP-USR-05</t>
  </si>
  <si>
    <t xml:space="preserve">3.2 /organizer-request</t>
  </si>
  <si>
    <t xml:space="preserve">Solicitud de organizador con documento PDF</t>
  </si>
  <si>
    <t xml:space="preserve">Usuario con rol USER</t>
  </si>
  <si>
    <t xml:space="preserve">1. Abrir /organizer-petition-form
2. Adjuntar PDF y enviar</t>
  </si>
  <si>
    <t xml:space="preserve">documento .pdf</t>
  </si>
  <si>
    <t xml:space="preserve">Petición creada en estado pendiente y visible en GET /organizer-petition</t>
  </si>
  <si>
    <t xml:space="preserve">CP-USR-06</t>
  </si>
  <si>
    <t xml:space="preserve">Solicitud duplicada mientras hay una pendiente</t>
  </si>
  <si>
    <t xml:space="preserve">Petición pendiente</t>
  </si>
  <si>
    <t xml:space="preserve">1. POST /organizer-request de nuevo</t>
  </si>
  <si>
    <t xml:space="preserve">400 PETITION_ALREADY_PENDING</t>
  </si>
  <si>
    <t xml:space="preserve">CP-USR-07</t>
  </si>
  <si>
    <t xml:space="preserve">Solicitud de un usuario que ya es organizador</t>
  </si>
  <si>
    <t xml:space="preserve">Usuario ORGANIZER</t>
  </si>
  <si>
    <t xml:space="preserve">1. POST /organizer-request</t>
  </si>
  <si>
    <t xml:space="preserve">400 ALREADY_ORGANIZER</t>
  </si>
  <si>
    <t xml:space="preserve">CP-USR-08</t>
  </si>
  <si>
    <t xml:space="preserve">3.2 DELETE /me</t>
  </si>
  <si>
    <t xml:space="preserve">Desactivar cuenta con contraseña correcta</t>
  </si>
  <si>
    <t xml:space="preserve">1. DELETE /users/me con la contraseña
2. Intentar login</t>
  </si>
  <si>
    <t xml:space="preserve">password correcta</t>
  </si>
  <si>
    <t xml:space="preserve">200 y el login responde ACCOUNT_DEACTIVATED</t>
  </si>
  <si>
    <t xml:space="preserve">CP-USR-09</t>
  </si>
  <si>
    <t xml:space="preserve">Desactivar cuenta con contraseña incorrecta</t>
  </si>
  <si>
    <t xml:space="preserve">1. DELETE /users/me</t>
  </si>
  <si>
    <t xml:space="preserve">password errada</t>
  </si>
  <si>
    <t xml:space="preserve">400 INVALID_PASSWORD y la cuenta sigue activa</t>
  </si>
  <si>
    <t xml:space="preserve">CP-ADM-01</t>
  </si>
  <si>
    <t xml:space="preserve">3.3 organizer-requests</t>
  </si>
  <si>
    <t xml:space="preserve">Aprobar petición de organizador</t>
  </si>
  <si>
    <t xml:space="preserve">Petición pendiente. Sesión ADMIN</t>
  </si>
  <si>
    <t xml:space="preserve">1. GET /admin/organizer-requests
2. PUT /{id}/approve
3. El usuario inicia sesión de nuevo</t>
  </si>
  <si>
    <t xml:space="preserve">id de petición</t>
  </si>
  <si>
    <t xml:space="preserve">200. El usuario pasa a ORGANIZER</t>
  </si>
  <si>
    <t xml:space="preserve">CP-ADM-02</t>
  </si>
  <si>
    <t xml:space="preserve">Rechazar petición de organizador</t>
  </si>
  <si>
    <t xml:space="preserve">1. PUT /{id}/reject</t>
  </si>
  <si>
    <t xml:space="preserve">200. El usuario sigue como USER</t>
  </si>
  <si>
    <t xml:space="preserve">CP-ADM-03</t>
  </si>
  <si>
    <t xml:space="preserve">Aprobar o rechazar una petición ya resuelta</t>
  </si>
  <si>
    <t xml:space="preserve">Petición ya aprobada</t>
  </si>
  <si>
    <t xml:space="preserve">1. PUT /{id}/approve de nuevo</t>
  </si>
  <si>
    <t xml:space="preserve">id resuelto</t>
  </si>
  <si>
    <t xml:space="preserve">400 PETITION_NOT_PENDING</t>
  </si>
  <si>
    <t xml:space="preserve">CP-ADM-04</t>
  </si>
  <si>
    <t xml:space="preserve">3.3 document</t>
  </si>
  <si>
    <t xml:space="preserve">Descargar documento de petición inexistente</t>
  </si>
  <si>
    <t xml:space="preserve">Sesión ADMIN</t>
  </si>
  <si>
    <t xml:space="preserve">1. GET /organizer-requests/{id}/document</t>
  </si>
  <si>
    <t xml:space="preserve">id inexistente</t>
  </si>
  <si>
    <t xml:space="preserve">404 PETITION_NOT_FOUND o FILE_NOT_FOUND</t>
  </si>
  <si>
    <t xml:space="preserve">CP-ADM-05</t>
  </si>
  <si>
    <t xml:space="preserve">5 Roles</t>
  </si>
  <si>
    <t xml:space="preserve">USER intenta usar endpoints de administración</t>
  </si>
  <si>
    <t xml:space="preserve">Sesión USER</t>
  </si>
  <si>
    <t xml:space="preserve">1. GET /api/v1/admin/organizer-requests</t>
  </si>
  <si>
    <t xml:space="preserve">token de USER</t>
  </si>
  <si>
    <t xml:space="preserve">403</t>
  </si>
  <si>
    <t xml:space="preserve">CP-ADM-06</t>
  </si>
  <si>
    <t xml:space="preserve">Endpoint de administración sin token</t>
  </si>
  <si>
    <t xml:space="preserve">1. GET /api/v1/admin/events sin Authorization</t>
  </si>
  <si>
    <t xml:space="preserve">401</t>
  </si>
  <si>
    <t xml:space="preserve">CP-PRF-01</t>
  </si>
  <si>
    <t xml:space="preserve">3.4 POST /</t>
  </si>
  <si>
    <t xml:space="preserve">Crear perfil</t>
  </si>
  <si>
    <t xml:space="preserve">Usuario sin perfil</t>
  </si>
  <si>
    <t xml:space="preserve">1. POST /profiles</t>
  </si>
  <si>
    <t xml:space="preserve">userId, fullName válido</t>
  </si>
  <si>
    <t xml:space="preserve">201</t>
  </si>
  <si>
    <t xml:space="preserve">CP-PRF-02</t>
  </si>
  <si>
    <t xml:space="preserve">Crear perfil duplicado</t>
  </si>
  <si>
    <t xml:space="preserve">Usuario con perfil</t>
  </si>
  <si>
    <t xml:space="preserve">1. POST /profiles de nuevo</t>
  </si>
  <si>
    <t xml:space="preserve">mismo userId</t>
  </si>
  <si>
    <t xml:space="preserve">409</t>
  </si>
  <si>
    <t xml:space="preserve">CP-PRF-03</t>
  </si>
  <si>
    <t xml:space="preserve">Bio con lenguaje inapropiado y leetspeak</t>
  </si>
  <si>
    <t xml:space="preserve">Perfil existente</t>
  </si>
  <si>
    <t xml:space="preserve">1. PUT /profiles/{id} con bio ofensiva</t>
  </si>
  <si>
    <t xml:space="preserve">bio con palabra prohibida escrita en leetspeak</t>
  </si>
  <si>
    <t xml:space="preserve">400 BIO_INAPPROPRIATE_LANGUAGE</t>
  </si>
  <si>
    <t xml:space="preserve">CP-PRF-04</t>
  </si>
  <si>
    <t xml:space="preserve">3.4 PUT</t>
  </si>
  <si>
    <t xml:space="preserve">Bio de 256 caracteres (máximo 255)</t>
  </si>
  <si>
    <t xml:space="preserve">1. PUT /profiles/{id}</t>
  </si>
  <si>
    <t xml:space="preserve">bio: 256 caracteres</t>
  </si>
  <si>
    <t xml:space="preserve">400. Con 255 caracteres debe aceptarse</t>
  </si>
  <si>
    <t xml:space="preserve">CP-PRF-05</t>
  </si>
  <si>
    <t xml:space="preserve">3.4 GET</t>
  </si>
  <si>
    <t xml:space="preserve">Consultar perfil inexistente</t>
  </si>
  <si>
    <t xml:space="preserve">1. GET /profiles/999999</t>
  </si>
  <si>
    <t xml:space="preserve">404</t>
  </si>
  <si>
    <t xml:space="preserve">CP-EVT-01</t>
  </si>
  <si>
    <t xml:space="preserve">3.5 POST</t>
  </si>
  <si>
    <t xml:space="preserve">Crear evento válido</t>
  </si>
  <si>
    <t xml:space="preserve">Sesión ORGANIZER, sitio y categoría activos</t>
  </si>
  <si>
    <t xml:space="preserve">1. POST /events (o wizard /events/create)</t>
  </si>
  <si>
    <t xml:space="preserve">eventName, siteId, startDate futura, finishDate ≥ startDate, availableSeats 500, categoryId</t>
  </si>
  <si>
    <t xml:space="preserve">201. Evento en estado DRAFT</t>
  </si>
  <si>
    <t xml:space="preserve">CP-EVT-02</t>
  </si>
  <si>
    <t xml:space="preserve">4 Evento</t>
  </si>
  <si>
    <t xml:space="preserve">Fecha de inicio en el pasado</t>
  </si>
  <si>
    <t xml:space="preserve">Sesión ORGANIZER</t>
  </si>
  <si>
    <t xml:space="preserve">1. POST /events</t>
  </si>
  <si>
    <t xml:space="preserve">startDate: ayer</t>
  </si>
  <si>
    <t xml:space="preserve">400 EVENT_START_DATE_IN_PAST</t>
  </si>
  <si>
    <t xml:space="preserve">CP-EVT-03</t>
  </si>
  <si>
    <t xml:space="preserve">Fecha de inicio a más de 2 años</t>
  </si>
  <si>
    <t xml:space="preserve">startDate: hoy + 2 años + 1 día</t>
  </si>
  <si>
    <t xml:space="preserve">400 EVENT_START_DATE_TOO_FAR</t>
  </si>
  <si>
    <t xml:space="preserve">CP-EVT-04</t>
  </si>
  <si>
    <t xml:space="preserve">Fecha de fin anterior al inicio</t>
  </si>
  <si>
    <t xml:space="preserve">finishDate &lt; startDate</t>
  </si>
  <si>
    <t xml:space="preserve">400 EVENT_END_BEFORE_START</t>
  </si>
  <si>
    <t xml:space="preserve">CP-EVT-05</t>
  </si>
  <si>
    <t xml:space="preserve">Fechas obligatorias ausentes</t>
  </si>
  <si>
    <t xml:space="preserve">1. POST /events sin startDate ni finishDate</t>
  </si>
  <si>
    <t xml:space="preserve">400 EVENT_DATES_REQUIRED</t>
  </si>
  <si>
    <t xml:space="preserve">CP-EVT-06</t>
  </si>
  <si>
    <t xml:space="preserve">Evento duplicado (mismo nombre, fecha y sitio)</t>
  </si>
  <si>
    <t xml:space="preserve">Evento ya creado</t>
  </si>
  <si>
    <t xml:space="preserve">1. POST /events con los mismos datos</t>
  </si>
  <si>
    <t xml:space="preserve">nombre + startDate + siteId iguales</t>
  </si>
  <si>
    <t xml:space="preserve">400 EVENT_ALREADY_EXISTS</t>
  </si>
  <si>
    <t xml:space="preserve">CP-EVT-07</t>
  </si>
  <si>
    <t xml:space="preserve">Aforo en los límites 0, 1, 100000 y 100001</t>
  </si>
  <si>
    <t xml:space="preserve">1. POST /events variando availableSeats</t>
  </si>
  <si>
    <t xml:space="preserve">0 / 1 / 100000 / 100001</t>
  </si>
  <si>
    <t xml:space="preserve">0 y 100001 dan 400. 1 y 100000 se aceptan si caben en el sitio</t>
  </si>
  <si>
    <t xml:space="preserve">CP-EVT-08</t>
  </si>
  <si>
    <t xml:space="preserve">Aforo mayor que la capacidad del sitio</t>
  </si>
  <si>
    <t xml:space="preserve">Sitio con capacidad 200</t>
  </si>
  <si>
    <t xml:space="preserve">availableSeats: 201</t>
  </si>
  <si>
    <t xml:space="preserve">400 SEATS_EXCEED_CAPACITY</t>
  </si>
  <si>
    <t xml:space="preserve">CP-EVT-09</t>
  </si>
  <si>
    <t xml:space="preserve">Categoría inactiva o inexistente</t>
  </si>
  <si>
    <t xml:space="preserve">Categoría desactivada</t>
  </si>
  <si>
    <t xml:space="preserve">categoryId inactivo</t>
  </si>
  <si>
    <t xml:space="preserve">400 CATEGORY_NOT_FOUND_OR_INACTIVE</t>
  </si>
  <si>
    <t xml:space="preserve">CP-EVT-10</t>
  </si>
  <si>
    <t xml:space="preserve">Organizador edita el evento de otro organizador</t>
  </si>
  <si>
    <t xml:space="preserve">Dos organizadores</t>
  </si>
  <si>
    <t xml:space="preserve">1. Iniciar sesión como organizador B
2. PUT /events/{id de A}</t>
  </si>
  <si>
    <t xml:space="preserve">Acceso denegado EVENT_ACCESS_DENIED</t>
  </si>
  <si>
    <t xml:space="preserve">CP-EVT-11</t>
  </si>
  <si>
    <t xml:space="preserve">Enviar a revisión con menos de 3 o más de 9 imágenes</t>
  </si>
  <si>
    <t xml:space="preserve">Evento DRAFT con 2 imágenes</t>
  </si>
  <si>
    <t xml:space="preserve">1. PATCH /events/{id}/status a PENDING_REVIEW
2. Repetir con 10 imágenes</t>
  </si>
  <si>
    <t xml:space="preserve">2 y 10 imágenes</t>
  </si>
  <si>
    <t xml:space="preserve">400 EVENT_PUBLISH_MEDIA_COUNT_INVALID</t>
  </si>
  <si>
    <t xml:space="preserve">CP-EVT-12</t>
  </si>
  <si>
    <t xml:space="preserve">Enviar a revisión sin secciones con sillas</t>
  </si>
  <si>
    <t xml:space="preserve">Evento DRAFT con 3 imágenes y sin secciones</t>
  </si>
  <si>
    <t xml:space="preserve">1. PATCH status a PENDING_REVIEW</t>
  </si>
  <si>
    <t xml:space="preserve">400 EVENT_SECTIONS_REQUIRED</t>
  </si>
  <si>
    <t xml:space="preserve">CP-EVT-13</t>
  </si>
  <si>
    <t xml:space="preserve">4 Estados</t>
  </si>
  <si>
    <t xml:space="preserve">Flujo completo DRAFT → PENDING_REVIEW → PUBLISHED</t>
  </si>
  <si>
    <t xml:space="preserve">Evento con 3–9 imágenes y secciones con sillas</t>
  </si>
  <si>
    <t xml:space="preserve">1. Organizador envía a revisión
2. ADMIN publica desde /admin-events
3. Abrir /events sin sesión</t>
  </si>
  <si>
    <t xml:space="preserve">El evento queda PUBLISHED y aparece en el catálogo público</t>
  </si>
  <si>
    <t xml:space="preserve">CP-EVT-14</t>
  </si>
  <si>
    <t xml:space="preserve">Admin rechaza sin motivo</t>
  </si>
  <si>
    <t xml:space="preserve">Evento PENDING_REVIEW</t>
  </si>
  <si>
    <t xml:space="preserve">1. PATCH /admin/events/{id}/status newStatus REJECTED sin reason</t>
  </si>
  <si>
    <t xml:space="preserve">reason vacío</t>
  </si>
  <si>
    <t xml:space="preserve">400. El motivo es obligatorio al rechazar</t>
  </si>
  <si>
    <t xml:space="preserve">CP-EVT-15</t>
  </si>
  <si>
    <t xml:space="preserve">Admin intenta publicar desde DRAFT</t>
  </si>
  <si>
    <t xml:space="preserve">Evento DRAFT</t>
  </si>
  <si>
    <t xml:space="preserve">1. PATCH /admin/events/{id}/status a PUBLISHED</t>
  </si>
  <si>
    <t xml:space="preserve">400 EVENT_INVALID_STATUS_TRANSITION</t>
  </si>
  <si>
    <t xml:space="preserve">CP-EVT-16</t>
  </si>
  <si>
    <t xml:space="preserve">Completar evento antes del día siguiente a finishDate</t>
  </si>
  <si>
    <t xml:space="preserve">Evento PUBLISHED que termina hoy</t>
  </si>
  <si>
    <t xml:space="preserve">1. PATCH status a COMPLETED</t>
  </si>
  <si>
    <t xml:space="preserve">400 EVENT_COMPLETE_TOO_EARLY</t>
  </si>
  <si>
    <t xml:space="preserve">CP-EVT-17</t>
  </si>
  <si>
    <t xml:space="preserve">Cancelar evento publicado</t>
  </si>
  <si>
    <t xml:space="preserve">Evento PUBLISHED con tickets vendidos</t>
  </si>
  <si>
    <t xml:space="preserve">1. PATCH status a CANCELLED</t>
  </si>
  <si>
    <t xml:space="preserve">Evento CANCELLED. Los tickets no se revierten solos y la UI avisa que el reembolso es aparte</t>
  </si>
  <si>
    <t xml:space="preserve">CP-EVT-18</t>
  </si>
  <si>
    <t xml:space="preserve">3.5 DELETE</t>
  </si>
  <si>
    <t xml:space="preserve">Eliminar un evento publicado</t>
  </si>
  <si>
    <t xml:space="preserve">Evento PUBLISHED</t>
  </si>
  <si>
    <t xml:space="preserve">1. DELETE /events/{id}</t>
  </si>
  <si>
    <t xml:space="preserve">400 EVENT_DELETE_NOT_ALLOWED</t>
  </si>
  <si>
    <t xml:space="preserve">CP-EVT-19</t>
  </si>
  <si>
    <t xml:space="preserve">3.5 público</t>
  </si>
  <si>
    <t xml:space="preserve">Filtros públicos por ciudad, categoría y rango de fechas</t>
  </si>
  <si>
    <t xml:space="preserve">Eventos publicados</t>
  </si>
  <si>
    <t xml:space="preserve">1. GET /events/public/city/{id}
2. GET /public/category/{id}
3. GET /public/date-range?from&amp;to</t>
  </si>
  <si>
    <t xml:space="preserve">IDs y fechas válidas</t>
  </si>
  <si>
    <t xml:space="preserve">200 con los eventos que cumplen cada filtro</t>
  </si>
  <si>
    <t xml:space="preserve">CP-EVT-20</t>
  </si>
  <si>
    <t xml:space="preserve">Rango de fechas inválido</t>
  </si>
  <si>
    <t xml:space="preserve">1. GET /events/public/date-range?from=2026-12-31&amp;to=2026-01-01</t>
  </si>
  <si>
    <t xml:space="preserve">from &gt; to</t>
  </si>
  <si>
    <t xml:space="preserve">400 INVALID_DATE_RANGE</t>
  </si>
  <si>
    <t xml:space="preserve">CP-EVT-21</t>
  </si>
  <si>
    <t xml:space="preserve">Eventos en DRAFT no aparecen en el catálogo público</t>
  </si>
  <si>
    <t xml:space="preserve">1. GET /events/public</t>
  </si>
  <si>
    <t xml:space="preserve">El evento DRAFT no está en la lista</t>
  </si>
  <si>
    <t xml:space="preserve">CP-MED-01</t>
  </si>
  <si>
    <t xml:space="preserve">3.6 media</t>
  </si>
  <si>
    <t xml:space="preserve">Subir imagen válida al evento</t>
  </si>
  <si>
    <t xml:space="preserve">Sesión ORGANIZER dueña del evento</t>
  </si>
  <si>
    <t xml:space="preserve">1. POST /events/{id}/media (multipart)</t>
  </si>
  <si>
    <t xml:space="preserve">imagen .jpg de 2 MB</t>
  </si>
  <si>
    <t xml:space="preserve">200/201 y la imagen aparece en GET /media</t>
  </si>
  <si>
    <t xml:space="preserve">CP-MED-02</t>
  </si>
  <si>
    <t xml:space="preserve">Imagen rechazada por moderación</t>
  </si>
  <si>
    <t xml:space="preserve">1. POST /events/{id}/media con imagen inapropiada</t>
  </si>
  <si>
    <t xml:space="preserve">imagen que activa NSFW o Sightengine</t>
  </si>
  <si>
    <t xml:space="preserve">422 por política de imagen</t>
  </si>
  <si>
    <t xml:space="preserve">CP-MED-03</t>
  </si>
  <si>
    <t xml:space="preserve">3.16 Storage</t>
  </si>
  <si>
    <t xml:space="preserve">Archivo mayor al límite de 10 MB</t>
  </si>
  <si>
    <t xml:space="preserve">1. POST media con archivo de 11 MB</t>
  </si>
  <si>
    <t xml:space="preserve">archivo de 11 MB</t>
  </si>
  <si>
    <t xml:space="preserve">Rechazo por tamaño (FILE_TOO_LARGE o error multipart)</t>
  </si>
  <si>
    <t xml:space="preserve">CP-MED-04</t>
  </si>
  <si>
    <t xml:space="preserve">Editar layout con el evento en revisión</t>
  </si>
  <si>
    <t xml:space="preserve">1. PUT /events/{id}/layout</t>
  </si>
  <si>
    <t xml:space="preserve">400 EVENT_LAYOUT_EDIT_NOT_ALLOWED</t>
  </si>
  <si>
    <t xml:space="preserve">CP-MED-05</t>
  </si>
  <si>
    <t xml:space="preserve">Regenerar sillas con reservas o ventas</t>
  </si>
  <si>
    <t xml:space="preserve">Evento con sillas RESERVED o SOLD</t>
  </si>
  <si>
    <t xml:space="preserve">1. PUT /events/{id}/layout cambiando secciones</t>
  </si>
  <si>
    <t xml:space="preserve">400 SEAT_REGENERATION_CONFLICT</t>
  </si>
  <si>
    <t xml:space="preserve">CP-MED-06</t>
  </si>
  <si>
    <t xml:space="preserve">3.6 layout</t>
  </si>
  <si>
    <t xml:space="preserve">PUT de layout por usuario que no es dueño</t>
  </si>
  <si>
    <t xml:space="preserve">Evento de otro organizador</t>
  </si>
  <si>
    <t xml:space="preserve">Acceso denegado</t>
  </si>
  <si>
    <t xml:space="preserve">CP-MED-07</t>
  </si>
  <si>
    <t xml:space="preserve">Editor de layout: crear secciones, bloques y sillas (web)</t>
  </si>
  <si>
    <t xml:space="preserve">1. Abrir /events/:id/layout
2. Crear sección con precio
3. Generar sillas
4. Guardar y recargar</t>
  </si>
  <si>
    <t xml:space="preserve">El layout persiste y las sillas generadas coinciden con el editor</t>
  </si>
  <si>
    <t xml:space="preserve">CP-RAT-01</t>
  </si>
  <si>
    <t xml:space="preserve">3.6 ratings</t>
  </si>
  <si>
    <t xml:space="preserve">Calificar y comentar un evento publicado</t>
  </si>
  <si>
    <t xml:space="preserve">Usuario USER, evento PUBLISHED público</t>
  </si>
  <si>
    <t xml:space="preserve">1. POST /events/{id}/ratings</t>
  </si>
  <si>
    <t xml:space="preserve">rating 4, comentario válido</t>
  </si>
  <si>
    <t xml:space="preserve">201 y se ve en GET /ratings</t>
  </si>
  <si>
    <t xml:space="preserve">CP-RAT-02</t>
  </si>
  <si>
    <t xml:space="preserve">Segunda calificación numérica del mismo usuario</t>
  </si>
  <si>
    <t xml:space="preserve">Usuario ya calificó</t>
  </si>
  <si>
    <t xml:space="preserve">1. POST ratings con otra nota</t>
  </si>
  <si>
    <t xml:space="preserve">rating 2</t>
  </si>
  <si>
    <t xml:space="preserve">Solo se acepta como comentario. No se crea una segunda nota</t>
  </si>
  <si>
    <t xml:space="preserve">CP-RAT-03</t>
  </si>
  <si>
    <t xml:space="preserve">El organizador califica su propio evento</t>
  </si>
  <si>
    <t xml:space="preserve">Sesión ORGANIZER dueña</t>
  </si>
  <si>
    <t xml:space="preserve">1. POST ratings con rating</t>
  </si>
  <si>
    <t xml:space="preserve">rating 5</t>
  </si>
  <si>
    <t xml:space="preserve">Se rechaza la nota del organizador</t>
  </si>
  <si>
    <t xml:space="preserve">CP-RAT-04</t>
  </si>
  <si>
    <t xml:space="preserve">Calificar evento que no está publicado o completado</t>
  </si>
  <si>
    <t xml:space="preserve">Evento DRAFT o CANCELLED</t>
  </si>
  <si>
    <t xml:space="preserve">1. POST ratings</t>
  </si>
  <si>
    <t xml:space="preserve">EVENT_RATING_NOT_ALLOWED</t>
  </si>
  <si>
    <t xml:space="preserve">CP-RAT-05</t>
  </si>
  <si>
    <t xml:space="preserve">Comentario vacío y comentario de 501 caracteres</t>
  </si>
  <si>
    <t xml:space="preserve">1. POST ratings con comentario en blanco
2. POST con 501 caracteres</t>
  </si>
  <si>
    <t xml:space="preserve">COMMENT_BLANK y COMMENT_TOO_LONG. Con 500 caracteres se acepta</t>
  </si>
  <si>
    <t xml:space="preserve">CP-RAT-06</t>
  </si>
  <si>
    <t xml:space="preserve">Antispam: dos comentarios en menos de 10 segundos</t>
  </si>
  <si>
    <t xml:space="preserve">1. POST comentario
2. POST otro comentario de inmediato</t>
  </si>
  <si>
    <t xml:space="preserve">COMMENT_RATE_LIMITED en el segundo</t>
  </si>
  <si>
    <t xml:space="preserve">CP-CAT-01</t>
  </si>
  <si>
    <t xml:space="preserve">3.7 categorías</t>
  </si>
  <si>
    <t xml:space="preserve">Admin crea categoría</t>
  </si>
  <si>
    <t xml:space="preserve">1. POST /categories</t>
  </si>
  <si>
    <t xml:space="preserve">nombre nuevo</t>
  </si>
  <si>
    <t xml:space="preserve">CP-CAT-02</t>
  </si>
  <si>
    <t xml:space="preserve">Categoría con nombre repetido</t>
  </si>
  <si>
    <t xml:space="preserve">Categoría existente</t>
  </si>
  <si>
    <t xml:space="preserve">1. POST /categories con el mismo nombre</t>
  </si>
  <si>
    <t xml:space="preserve">nombre duplicado</t>
  </si>
  <si>
    <t xml:space="preserve">CATEGORY_NAME_ALREADY_EXISTS</t>
  </si>
  <si>
    <t xml:space="preserve">CP-CAT-03</t>
  </si>
  <si>
    <t xml:space="preserve">Organizador intenta crear categoría</t>
  </si>
  <si>
    <t xml:space="preserve">CP-CAT-04</t>
  </si>
  <si>
    <t xml:space="preserve">3.8 geolocalización</t>
  </si>
  <si>
    <t xml:space="preserve">Organizador crea sitio válido</t>
  </si>
  <si>
    <t xml:space="preserve">Sesión ORGANIZER, ciudad existente</t>
  </si>
  <si>
    <t xml:space="preserve">1. POST /geolocation/sites</t>
  </si>
  <si>
    <t xml:space="preserve">name, address, capacity 500, latitude 2.93, longitude -75.28</t>
  </si>
  <si>
    <t xml:space="preserve">CP-CAT-05</t>
  </si>
  <si>
    <t xml:space="preserve">Sitio con capacidad 0 y coordenadas fuera de rango</t>
  </si>
  <si>
    <t xml:space="preserve">1. POST sitio con capacity 0
2. POST con latitude 91
3. POST con longitude -181</t>
  </si>
  <si>
    <t xml:space="preserve">capacity 0, lat 91, lon -181</t>
  </si>
  <si>
    <t xml:space="preserve">400 en cada caso</t>
  </si>
  <si>
    <t xml:space="preserve">CP-CAT-06</t>
  </si>
  <si>
    <t xml:space="preserve">Sitio duplicado</t>
  </si>
  <si>
    <t xml:space="preserve">Sitio existente</t>
  </si>
  <si>
    <t xml:space="preserve">1. POST sitio con los mismos datos</t>
  </si>
  <si>
    <t xml:space="preserve">CP-CAT-07</t>
  </si>
  <si>
    <t xml:space="preserve">Búsqueda de sitios cercanos</t>
  </si>
  <si>
    <t xml:space="preserve">Sitios con coordenadas</t>
  </si>
  <si>
    <t xml:space="preserve">1. GET sitios cercanos con latitude, longitude y radiusKm</t>
  </si>
  <si>
    <t xml:space="preserve">radiusKm: 10</t>
  </si>
  <si>
    <t xml:space="preserve">Lista de sitios dentro del radio</t>
  </si>
  <si>
    <t xml:space="preserve">CP-SIL-01</t>
  </si>
  <si>
    <t xml:space="preserve">3.9 secciones</t>
  </si>
  <si>
    <t xml:space="preserve">Sección con capacidad 0 o precio negativo</t>
  </si>
  <si>
    <t xml:space="preserve">1. POST /event-sections con capacidad 0
2. POST con precio -1</t>
  </si>
  <si>
    <t xml:space="preserve">400 en ambos. Capacidad 1 y precio 0 se aceptan</t>
  </si>
  <si>
    <t xml:space="preserve">CP-SIL-02</t>
  </si>
  <si>
    <t xml:space="preserve">Sección duplicada en el mismo evento</t>
  </si>
  <si>
    <t xml:space="preserve">Sección existente</t>
  </si>
  <si>
    <t xml:space="preserve">1. POST /event-sections repetida</t>
  </si>
  <si>
    <t xml:space="preserve">EVENT_SECTION_ALREADY_EXISTS</t>
  </si>
  <si>
    <t xml:space="preserve">CP-SIL-03</t>
  </si>
  <si>
    <t xml:space="preserve">3.9 seats</t>
  </si>
  <si>
    <t xml:space="preserve">Reservar una silla disponible</t>
  </si>
  <si>
    <t xml:space="preserve">Evento PUBLISHED. Usuario autenticado</t>
  </si>
  <si>
    <t xml:space="preserve">1. Seleccionar silla en /events/:id
2. POST /seats/{id}/reserve</t>
  </si>
  <si>
    <t xml:space="preserve">seatId AVAILABLE</t>
  </si>
  <si>
    <t xml:space="preserve">Silla RESERVED por 10 min y el cambio se publica por WebSocket a otros clientes</t>
  </si>
  <si>
    <t xml:space="preserve">CP-SIL-04</t>
  </si>
  <si>
    <t xml:space="preserve">Reservar una silla ya reservada por otro usuario</t>
  </si>
  <si>
    <t xml:space="preserve">Silla RESERVED por usuario A</t>
  </si>
  <si>
    <t xml:space="preserve">1. Usuario B hace POST /seats/{id}/reserve</t>
  </si>
  <si>
    <t xml:space="preserve">SEAT_NOT_AVAILABLE</t>
  </si>
  <si>
    <t xml:space="preserve">CP-SIL-05</t>
  </si>
  <si>
    <t xml:space="preserve">Dos usuarios reservan la misma silla al mismo tiempo</t>
  </si>
  <si>
    <t xml:space="preserve">Silla AVAILABLE. Dos sesiones</t>
  </si>
  <si>
    <t xml:space="preserve">1. Enviar las dos peticiones de reserva simultáneas</t>
  </si>
  <si>
    <t xml:space="preserve">Solo una reserva tiene éxito. La otra recibe SEAT_NOT_AVAILABLE. No hay doble reserva</t>
  </si>
  <si>
    <t xml:space="preserve">CP-SIL-06</t>
  </si>
  <si>
    <t xml:space="preserve">4 Sillas</t>
  </si>
  <si>
    <t xml:space="preserve">La reserva vence a los 10 minutos</t>
  </si>
  <si>
    <t xml:space="preserve">Silla RESERVED</t>
  </si>
  <si>
    <t xml:space="preserve">1. Esperar 10 min sin crear la orden</t>
  </si>
  <si>
    <t xml:space="preserve">La silla vuelve a AVAILABLE y se notifica por WebSocket</t>
  </si>
  <si>
    <t xml:space="preserve">CP-SIL-07</t>
  </si>
  <si>
    <t xml:space="preserve">Liberar silla ajena, no reservada o propia</t>
  </si>
  <si>
    <t xml:space="preserve">Sillas en distintos estados</t>
  </si>
  <si>
    <t xml:space="preserve">1. POST /seats/{id}/release en cada caso</t>
  </si>
  <si>
    <t xml:space="preserve">Propia: éxito. Ajena: UNAUTHORIZED_RELEASE. No reservada: SEAT_NOT_RESERVED</t>
  </si>
  <si>
    <t xml:space="preserve">CP-SIL-08</t>
  </si>
  <si>
    <t xml:space="preserve">Cambio de estado idéntico y código de silla duplicado</t>
  </si>
  <si>
    <t xml:space="preserve">Organizador del evento</t>
  </si>
  <si>
    <t xml:space="preserve">1. PATCH /seats con el mismo estado
2. POST /seats con código repetido</t>
  </si>
  <si>
    <t xml:space="preserve">SEAT_STATUS_UNCHANGED y SEAT_CODE_ALREADY_EXISTS</t>
  </si>
  <si>
    <t xml:space="preserve">CP-SIL-09</t>
  </si>
  <si>
    <t xml:space="preserve">3.9 WebSocket</t>
  </si>
  <si>
    <t xml:space="preserve">Handshake WebSocket sin JWT</t>
  </si>
  <si>
    <t xml:space="preserve">1. Conectar a /ws sin token</t>
  </si>
  <si>
    <t xml:space="preserve">La conexión se rechaza</t>
  </si>
  <si>
    <t xml:space="preserve">CP-ORD-01</t>
  </si>
  <si>
    <t xml:space="preserve">3.10 /orders</t>
  </si>
  <si>
    <t xml:space="preserve">Crear orden con sillas reservadas</t>
  </si>
  <si>
    <t xml:space="preserve">Usuario con sillas RESERVED vigentes</t>
  </si>
  <si>
    <t xml:space="preserve">1. POST /orders</t>
  </si>
  <si>
    <t xml:space="preserve">eventId, seatIds [1,2]</t>
  </si>
  <si>
    <t xml:space="preserve">Orden DRAFT, tickets PENDING con QR. Total = suma de precios de sección</t>
  </si>
  <si>
    <t xml:space="preserve">CP-ORD-02</t>
  </si>
  <si>
    <t xml:space="preserve">Orden con una silla no reservada por el usuario</t>
  </si>
  <si>
    <t xml:space="preserve">Silla reservada por otro</t>
  </si>
  <si>
    <t xml:space="preserve">seatIds con silla ajena</t>
  </si>
  <si>
    <t xml:space="preserve">400</t>
  </si>
  <si>
    <t xml:space="preserve">CP-ORD-03</t>
  </si>
  <si>
    <t xml:space="preserve">Orden con reserva vencida</t>
  </si>
  <si>
    <t xml:space="preserve">Reserva de más de 10 min</t>
  </si>
  <si>
    <t xml:space="preserve">seatIds vencidos</t>
  </si>
  <si>
    <t xml:space="preserve">CP-ORD-04</t>
  </si>
  <si>
    <t xml:space="preserve">Orden sin sillas</t>
  </si>
  <si>
    <t xml:space="preserve">1. POST /orders con seatIds vacío</t>
  </si>
  <si>
    <t xml:space="preserve">seatIds: []</t>
  </si>
  <si>
    <t xml:space="preserve">400 por validación (mínimo 1)</t>
  </si>
  <si>
    <t xml:space="preserve">CP-ORD-05</t>
  </si>
  <si>
    <t xml:space="preserve">3.10 cancel</t>
  </si>
  <si>
    <t xml:space="preserve">Cancelar orden en DRAFT o PAYMENT_PENDING</t>
  </si>
  <si>
    <t xml:space="preserve">Orden DRAFT</t>
  </si>
  <si>
    <t xml:space="preserve">1. POST /orders/{id}/cancel</t>
  </si>
  <si>
    <t xml:space="preserve">Orden CANCELLED, tickets CANCELLED y sillas AVAILABLE</t>
  </si>
  <si>
    <t xml:space="preserve">CP-ORD-06</t>
  </si>
  <si>
    <t xml:space="preserve">4 Órdenes</t>
  </si>
  <si>
    <t xml:space="preserve">Cancelar una orden ya pagada</t>
  </si>
  <si>
    <t xml:space="preserve">Orden PAID</t>
  </si>
  <si>
    <t xml:space="preserve">CP-ORD-07</t>
  </si>
  <si>
    <t xml:space="preserve">8 Huecos</t>
  </si>
  <si>
    <t xml:space="preserve">Cancelar la orden de otro usuario</t>
  </si>
  <si>
    <t xml:space="preserve">Orden del usuario A. Sesión del usuario B</t>
  </si>
  <si>
    <t xml:space="preserve">1. Usuario B hace POST /orders/{id de A}/cancel</t>
  </si>
  <si>
    <t xml:space="preserve">Debería rechazarse (403)</t>
  </si>
  <si>
    <t xml:space="preserve">Hueco conocido: hoy no se comprueba el dueño. Si se ejecuta la cancelación, registrar defecto</t>
  </si>
  <si>
    <t xml:space="preserve">CP-ORD-08</t>
  </si>
  <si>
    <t xml:space="preserve">Consultar tickets de otro usuario por userId</t>
  </si>
  <si>
    <t xml:space="preserve">Dos usuarios con tickets</t>
  </si>
  <si>
    <t xml:space="preserve">1. Usuario B hace GET /tickets/user/{id de A}</t>
  </si>
  <si>
    <t xml:space="preserve">Hueco conocido: no se verifica que sea el mismo usuario</t>
  </si>
  <si>
    <t xml:space="preserve">CP-ORD-09</t>
  </si>
  <si>
    <t xml:space="preserve">3.10 checkin</t>
  </si>
  <si>
    <t xml:space="preserve">Check-in de un ticket pagado</t>
  </si>
  <si>
    <t xml:space="preserve">Ticket PAID, no expirado</t>
  </si>
  <si>
    <t xml:space="preserve">1. POST /tickets/{id}/checkin</t>
  </si>
  <si>
    <t xml:space="preserve">validatedBy: nombre del validador</t>
  </si>
  <si>
    <t xml:space="preserve">200. Ticket USED y registro en ticket_checkin</t>
  </si>
  <si>
    <t xml:space="preserve">CP-ORD-10</t>
  </si>
  <si>
    <t xml:space="preserve">Check-in repetido del mismo ticket</t>
  </si>
  <si>
    <t xml:space="preserve">Ticket USED</t>
  </si>
  <si>
    <t xml:space="preserve">1. POST /tickets/{id}/checkin otra vez</t>
  </si>
  <si>
    <t xml:space="preserve">400 por ticket ya usado</t>
  </si>
  <si>
    <t xml:space="preserve">CP-ORD-11</t>
  </si>
  <si>
    <t xml:space="preserve">Check-in de ticket no pagado o expirado</t>
  </si>
  <si>
    <t xml:space="preserve">Ticket PENDING / expirado</t>
  </si>
  <si>
    <t xml:space="preserve">CP-ORD-12</t>
  </si>
  <si>
    <t xml:space="preserve">Check-in realizado por un usuario sin rol de organizador</t>
  </si>
  <si>
    <t xml:space="preserve">Ticket PAID. Sesión USER</t>
  </si>
  <si>
    <t xml:space="preserve">1. POST /tickets/{id}/checkin con token de USER</t>
  </si>
  <si>
    <t xml:space="preserve">Debería denegarse</t>
  </si>
  <si>
    <t xml:space="preserve">Hueco conocido: no hay @PreAuthorize ni rol staff. Probar solo por API (no hay escáner QR)</t>
  </si>
  <si>
    <t xml:space="preserve">CP-PAG-01</t>
  </si>
  <si>
    <t xml:space="preserve">3.11 /payments</t>
  </si>
  <si>
    <t xml:space="preserve">Crear pago por QR sin wallet</t>
  </si>
  <si>
    <t xml:space="preserve">1. POST /payments con orderId y paymentMethod QR</t>
  </si>
  <si>
    <t xml:space="preserve">applyWalletCredit: false</t>
  </si>
  <si>
    <t xml:space="preserve">201 (sin sobre ApiResponse). Pago PENDING y orden PAYMENT_PENDING</t>
  </si>
  <si>
    <t xml:space="preserve">CP-PAG-02</t>
  </si>
  <si>
    <t xml:space="preserve">3.11 webhook</t>
  </si>
  <si>
    <t xml:space="preserve">Webhook de pago aprobado</t>
  </si>
  <si>
    <t xml:space="preserve">Pago PENDING en pasarela fake</t>
  </si>
  <si>
    <t xml:space="preserve">1. Aprobar el pago en la pasarela fake (puerto 4001)
2. Verificar orden, tickets y sillas</t>
  </si>
  <si>
    <t xml:space="preserve">firma HMAC válida</t>
  </si>
  <si>
    <t xml:space="preserve">Pago APPROVED, orden PAID, tickets PAID y sillas SOLD</t>
  </si>
  <si>
    <t xml:space="preserve">CP-PAG-03</t>
  </si>
  <si>
    <t xml:space="preserve">Webhook de pago rechazado</t>
  </si>
  <si>
    <t xml:space="preserve">Pago PENDING</t>
  </si>
  <si>
    <t xml:space="preserve">1. Rechazar el pago en la pasarela fake
2. Verificar estados</t>
  </si>
  <si>
    <t xml:space="preserve">Pago REJECTED. Sillas AVAILABLE, tickets y orden cancelados</t>
  </si>
  <si>
    <t xml:space="preserve">CP-PAG-04</t>
  </si>
  <si>
    <t xml:space="preserve">Webhook con firma HMAC inválida</t>
  </si>
  <si>
    <t xml:space="preserve">1. POST /webhooks/payment con X-Signature alterada</t>
  </si>
  <si>
    <t xml:space="preserve">firma incorrecta</t>
  </si>
  <si>
    <t xml:space="preserve">401 y ningún cambio de estado</t>
  </si>
  <si>
    <t xml:space="preserve">CP-PAG-05</t>
  </si>
  <si>
    <t xml:space="preserve">Webhook duplicado (mismo gateway_event_id)</t>
  </si>
  <si>
    <t xml:space="preserve">Webhook ya procesado</t>
  </si>
  <si>
    <t xml:space="preserve">1. Reenviar el mismo webhook</t>
  </si>
  <si>
    <t xml:space="preserve">mismo eventId</t>
  </si>
  <si>
    <t xml:space="preserve">200 sin efecto doble (idempotente)</t>
  </si>
  <si>
    <t xml:space="preserve">CP-PAG-06</t>
  </si>
  <si>
    <t xml:space="preserve">Pago de una orden que ya no está en DRAFT</t>
  </si>
  <si>
    <t xml:space="preserve">Orden PAID o CANCELLED</t>
  </si>
  <si>
    <t xml:space="preserve">1. POST /payments</t>
  </si>
  <si>
    <t xml:space="preserve">orderId de orden cerrada</t>
  </si>
  <si>
    <t xml:space="preserve">409 por transición inválida</t>
  </si>
  <si>
    <t xml:space="preserve">CP-PAG-07</t>
  </si>
  <si>
    <t xml:space="preserve">Pasarela caída al crear el pago</t>
  </si>
  <si>
    <t xml:space="preserve">Pasarela fake apagada</t>
  </si>
  <si>
    <t xml:space="preserve">1. Apagar la pasarela
2. POST /payments con applyWalletCredit true</t>
  </si>
  <si>
    <t xml:space="preserve">Error controlado. No queda reserva de wallet huérfana ni orden colgada (rollback)</t>
  </si>
  <si>
    <t xml:space="preserve">CP-PAG-08</t>
  </si>
  <si>
    <t xml:space="preserve">4 Wallet</t>
  </si>
  <si>
    <t xml:space="preserve">Pago 100% con wallet</t>
  </si>
  <si>
    <t xml:space="preserve">Saldo ≥ total de la orden</t>
  </si>
  <si>
    <t xml:space="preserve">1. POST /payments con applyWalletCredit true</t>
  </si>
  <si>
    <t xml:space="preserve">APPROVED de inmediato, amount 0, walletAmountApplied = total y gatewayTransactionId con prefijo wallet_only_</t>
  </si>
  <si>
    <t xml:space="preserve">CP-PAG-09</t>
  </si>
  <si>
    <t xml:space="preserve">Pago mixto (wallet + pasarela)</t>
  </si>
  <si>
    <t xml:space="preserve">Saldo menor al total</t>
  </si>
  <si>
    <t xml:space="preserve">1. POST /payments con applyWalletCredit true
2. Aprobar en la pasarela</t>
  </si>
  <si>
    <t xml:space="preserve">Wallet reservada y luego descontada. La pasarela cobra solo la diferencia</t>
  </si>
  <si>
    <t xml:space="preserve">CP-PAG-10</t>
  </si>
  <si>
    <t xml:space="preserve">Pago mixto rechazado libera el saldo</t>
  </si>
  <si>
    <t xml:space="preserve">Pago mixto en curso</t>
  </si>
  <si>
    <t xml:space="preserve">1. Rechazar en la pasarela
2. Consultar GET /wallet/me</t>
  </si>
  <si>
    <t xml:space="preserve">El saldo reservado vuelve a estar disponible</t>
  </si>
  <si>
    <t xml:space="preserve">CP-PAG-11</t>
  </si>
  <si>
    <t xml:space="preserve">3.11 refund</t>
  </si>
  <si>
    <t xml:space="preserve">Reembolso de pago por pasarela (ADMIN)</t>
  </si>
  <si>
    <t xml:space="preserve">Pago APPROVED</t>
  </si>
  <si>
    <t xml:space="preserve">1. POST /payments/{id}/refund con motivo
2. Esperar webhook payment.refunded</t>
  </si>
  <si>
    <t xml:space="preserve">reason: Evento cancelado</t>
  </si>
  <si>
    <t xml:space="preserve">Pago, orden y tickets REFUNDED. Las sillas se mantienen SOLD según lo definido</t>
  </si>
  <si>
    <t xml:space="preserve">CP-PAG-12</t>
  </si>
  <si>
    <t xml:space="preserve">Reembolso de pago solo wallet</t>
  </si>
  <si>
    <t xml:space="preserve">Pago wallet_only APPROVED</t>
  </si>
  <si>
    <t xml:space="preserve">1. POST /payments/{id}/refund</t>
  </si>
  <si>
    <t xml:space="preserve">reason válido</t>
  </si>
  <si>
    <t xml:space="preserve">Cierre local. Pago, orden y tickets REFUNDED y saldo devuelto a la wallet</t>
  </si>
  <si>
    <t xml:space="preserve">CP-PAG-13</t>
  </si>
  <si>
    <t xml:space="preserve">Reembolso sin motivo o con motivo de 501 caracteres</t>
  </si>
  <si>
    <t xml:space="preserve">1. POST refund con reason vacío
2. POST con 501 caracteres</t>
  </si>
  <si>
    <t xml:space="preserve">400 en ambos. Con 500 caracteres se acepta</t>
  </si>
  <si>
    <t xml:space="preserve">CP-PAG-14</t>
  </si>
  <si>
    <t xml:space="preserve">USER intenta reembolsar</t>
  </si>
  <si>
    <t xml:space="preserve">CP-PAG-15</t>
  </si>
  <si>
    <t xml:space="preserve">Reembolso de un pago que no está APPROVED</t>
  </si>
  <si>
    <t xml:space="preserve">Rechazado. Solo se reembolsa un pago APPROVED</t>
  </si>
  <si>
    <t xml:space="preserve">CP-PAG-16</t>
  </si>
  <si>
    <t xml:space="preserve">3.11 UI</t>
  </si>
  <si>
    <t xml:space="preserve">Pantallas de checkout, pago pendiente y confirmado (web)</t>
  </si>
  <si>
    <t xml:space="preserve">Orden creada</t>
  </si>
  <si>
    <t xml:space="preserve">1. Ir a /checkout
2. Pagar
3. Esperar /checkout/pending/:id hasta /checkout/confirmed/:id</t>
  </si>
  <si>
    <t xml:space="preserve">La UI cambia de pendiente a confirmado al llegar el webhook</t>
  </si>
  <si>
    <t xml:space="preserve">CP-WAL-01</t>
  </si>
  <si>
    <t xml:space="preserve">3.12 /wallet/me</t>
  </si>
  <si>
    <t xml:space="preserve">Consultar wallet y movimientos propios</t>
  </si>
  <si>
    <t xml:space="preserve">Usuario con wallet</t>
  </si>
  <si>
    <t xml:space="preserve">1. GET /wallet/me
2. GET /wallet/me/transactions</t>
  </si>
  <si>
    <t xml:space="preserve">200 con saldo y movimientos del dueño</t>
  </si>
  <si>
    <t xml:space="preserve">CP-WAL-02</t>
  </si>
  <si>
    <t xml:space="preserve">Consultar wallet de un usuario sin wallet</t>
  </si>
  <si>
    <t xml:space="preserve">Usuario sin wallet</t>
  </si>
  <si>
    <t xml:space="preserve">1. GET /wallet/me</t>
  </si>
  <si>
    <t xml:space="preserve">CP-WAL-03</t>
  </si>
  <si>
    <t xml:space="preserve">3.12 /credit</t>
  </si>
  <si>
    <t xml:space="preserve">Admin acredita saldo</t>
  </si>
  <si>
    <t xml:space="preserve">1. POST /wallet/credit</t>
  </si>
  <si>
    <t xml:space="preserve">userId, monto</t>
  </si>
  <si>
    <t xml:space="preserve">200 y el saldo aumenta</t>
  </si>
  <si>
    <t xml:space="preserve">CP-WAL-04</t>
  </si>
  <si>
    <t xml:space="preserve">Usuario común intenta acreditar o ajustar wallet</t>
  </si>
  <si>
    <t xml:space="preserve">1. POST /wallet/credit
2. POST /wallet/adjust</t>
  </si>
  <si>
    <t xml:space="preserve">403 en ambos</t>
  </si>
  <si>
    <t xml:space="preserve">CP-WAL-05</t>
  </si>
  <si>
    <t xml:space="preserve">3.12 /adjust</t>
  </si>
  <si>
    <t xml:space="preserve">Ajuste negativo mayor al saldo</t>
  </si>
  <si>
    <t xml:space="preserve">Saldo 10.000</t>
  </si>
  <si>
    <t xml:space="preserve">1. POST /wallet/adjust con -20.000</t>
  </si>
  <si>
    <t xml:space="preserve">monto: -20000</t>
  </si>
  <si>
    <t xml:space="preserve">422 InsufficientWalletBalance. El saldo nunca queda negativo</t>
  </si>
  <si>
    <t xml:space="preserve">CP-NOT-01</t>
  </si>
  <si>
    <t xml:space="preserve">3.13</t>
  </si>
  <si>
    <t xml:space="preserve">Listar notificaciones con paginación y solo no leídas</t>
  </si>
  <si>
    <t xml:space="preserve">Usuario con notificaciones</t>
  </si>
  <si>
    <t xml:space="preserve">1. GET /notifications/me?page=0&amp;size=20
2. GET con unreadOnly=true</t>
  </si>
  <si>
    <t xml:space="preserve">200 paginado y filtrado</t>
  </si>
  <si>
    <t xml:space="preserve">CP-NOT-02</t>
  </si>
  <si>
    <t xml:space="preserve">Marcar una y todas como leídas</t>
  </si>
  <si>
    <t xml:space="preserve">Notificaciones sin leer</t>
  </si>
  <si>
    <t xml:space="preserve">1. PATCH /{id}/read
2. PATCH /me/read-all
3. GET /me/unread-count</t>
  </si>
  <si>
    <t xml:space="preserve">El contador baja a 0 al final</t>
  </si>
  <si>
    <t xml:space="preserve">CP-NOT-03</t>
  </si>
  <si>
    <t xml:space="preserve">7 Integraciones</t>
  </si>
  <si>
    <t xml:space="preserve">Notificación por correo en un evento de negocio</t>
  </si>
  <si>
    <t xml:space="preserve">SMTP configurado</t>
  </si>
  <si>
    <t xml:space="preserve">1. Ejecutar un pago aprobado o una activación
2. Revisar la bandeja</t>
  </si>
  <si>
    <t xml:space="preserve">Llega el correo y se crea la notificación in-app</t>
  </si>
  <si>
    <t xml:space="preserve">CP-NOT-04</t>
  </si>
  <si>
    <t xml:space="preserve">Un usuario no ve notificaciones de otro</t>
  </si>
  <si>
    <t xml:space="preserve">Dos usuarios</t>
  </si>
  <si>
    <t xml:space="preserve">1. Marcar como leída con un notificationUserId ajeno</t>
  </si>
  <si>
    <t xml:space="preserve">id de otro usuario</t>
  </si>
  <si>
    <t xml:space="preserve">Rechazado o 404. Solo se opera sobre las propias</t>
  </si>
  <si>
    <t xml:space="preserve">CP-TEM-01</t>
  </si>
  <si>
    <t xml:space="preserve">3.14 temas</t>
  </si>
  <si>
    <t xml:space="preserve">Activar, personalizar y restablecer un tema</t>
  </si>
  <si>
    <t xml:space="preserve">1. POST activate de un tema
2. PUT customize
3. DELETE customize/{property}</t>
  </si>
  <si>
    <t xml:space="preserve">tema dark</t>
  </si>
  <si>
    <t xml:space="preserve">Se aplica, se personaliza y se revierte la propiedad</t>
  </si>
  <si>
    <t xml:space="preserve">CP-TEM-02</t>
  </si>
  <si>
    <t xml:space="preserve">3.15 idiomas</t>
  </si>
  <si>
    <t xml:space="preserve">Solo se listan idiomas activos al público</t>
  </si>
  <si>
    <t xml:space="preserve">Idiomas activos e inactivos</t>
  </si>
  <si>
    <t xml:space="preserve">1. GET /languages sin sesión</t>
  </si>
  <si>
    <t xml:space="preserve">Solo idiomas activos</t>
  </si>
  <si>
    <t xml:space="preserve">CP-TEM-03</t>
  </si>
  <si>
    <t xml:space="preserve">Crear idioma con código existente</t>
  </si>
  <si>
    <t xml:space="preserve">Idioma existente</t>
  </si>
  <si>
    <t xml:space="preserve">1. POST idioma con código repetido</t>
  </si>
  <si>
    <t xml:space="preserve">code: es</t>
  </si>
  <si>
    <t xml:space="preserve">LANGUAGE_CODE_EXISTS</t>
  </si>
  <si>
    <t xml:space="preserve">CP-TEM-04</t>
  </si>
  <si>
    <t xml:space="preserve">Desactivar el idioma por defecto</t>
  </si>
  <si>
    <t xml:space="preserve">Idioma por defecto definido</t>
  </si>
  <si>
    <t xml:space="preserve">1. Desactivar el idioma por defecto</t>
  </si>
  <si>
    <t xml:space="preserve">CANNOT_DEACTIVATE_DEFAULT_LANGUAGE</t>
  </si>
  <si>
    <t xml:space="preserve">CP-TEM-05</t>
  </si>
  <si>
    <t xml:space="preserve">3.15 traducción</t>
  </si>
  <si>
    <t xml:space="preserve">Solicitar traducción asíncrona (ADMIN)</t>
  </si>
  <si>
    <t xml:space="preserve">LibreTranslate arriba. Sesión ADMIN</t>
  </si>
  <si>
    <t xml:space="preserve">1. POST /api/admin/translations/request
2. Consultar el job de la entidad</t>
  </si>
  <si>
    <t xml:space="preserve">entityType, entityId, sourceLanguageCode</t>
  </si>
  <si>
    <t xml:space="preserve">Job creado y traducción completada. Marcas y nombres propios no se traducen</t>
  </si>
  <si>
    <t xml:space="preserve">El listado global de jobs pending devuelve vacío (TODO conocido)</t>
  </si>
  <si>
    <t xml:space="preserve">CP-TEM-06</t>
  </si>
  <si>
    <t xml:space="preserve">USER intenta solicitar traducciones</t>
  </si>
  <si>
    <t xml:space="preserve">1. POST /api/admin/translations/request</t>
  </si>
  <si>
    <t xml:space="preserve">CP-SEG-01</t>
  </si>
  <si>
    <t xml:space="preserve">Subida con extensión no permitida</t>
  </si>
  <si>
    <t xml:space="preserve">1. POST /storage/upload con un .exe</t>
  </si>
  <si>
    <t xml:space="preserve">archivo .exe</t>
  </si>
  <si>
    <t xml:space="preserve">400 INVALID_FILE_EXTENSION</t>
  </si>
  <si>
    <t xml:space="preserve">CP-SEG-02</t>
  </si>
  <si>
    <t xml:space="preserve">Subida a storage sin autenticación</t>
  </si>
  <si>
    <t xml:space="preserve">1. POST /storage/upload sin Authorization</t>
  </si>
  <si>
    <t xml:space="preserve">Debería devolver 401</t>
  </si>
  <si>
    <t xml:space="preserve">Hueco conocido: la ruta está en permitAll</t>
  </si>
  <si>
    <t xml:space="preserve">CP-SEG-03</t>
  </si>
  <si>
    <t xml:space="preserve">Endpoint de desarrollo de código de activación</t>
  </si>
  <si>
    <t xml:space="preserve">Entorno de producción</t>
  </si>
  <si>
    <t xml:space="preserve">1. GET /auth/dev/activate-code/{email}</t>
  </si>
  <si>
    <t xml:space="preserve">email registrado</t>
  </si>
  <si>
    <t xml:space="preserve">Debe estar deshabilitado (404 o 403)</t>
  </si>
  <si>
    <t xml:space="preserve">Hueco conocido: existe solo para pruebas</t>
  </si>
  <si>
    <t xml:space="preserve">CP-SEG-04</t>
  </si>
  <si>
    <t xml:space="preserve">Exposición de Actuator y Swagger</t>
  </si>
  <si>
    <t xml:space="preserve">1. GET /actuator
2. GET /swagger-ui</t>
  </si>
  <si>
    <t xml:space="preserve">No deben exponer información sensible sin autenticación</t>
  </si>
  <si>
    <t xml:space="preserve">Hoy Actuator es público</t>
  </si>
  <si>
    <t xml:space="preserve">CP-SEG-05</t>
  </si>
  <si>
    <t xml:space="preserve">Rutas protegidas del frontend según rol</t>
  </si>
  <si>
    <t xml:space="preserve">1. Abrir /admin-panel y /events/create manualmente</t>
  </si>
  <si>
    <t xml:space="preserve">ProtectedRoute redirige. El backend responde 403 al llamar la API</t>
  </si>
  <si>
    <t xml:space="preserve">CP-SEG-06</t>
  </si>
  <si>
    <t xml:space="preserve">9 Pendiente</t>
  </si>
  <si>
    <t xml:space="preserve">Cobertura móvil: flujo de compra</t>
  </si>
  <si>
    <t xml:space="preserve">App Expo, sesión iniciada</t>
  </si>
  <si>
    <t xml:space="preserve">1. Login
2. Detalle de evento
3. Checkout
4. PaymentPending</t>
  </si>
  <si>
    <t xml:space="preserve">El flujo móvil completa la compra igual que la web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</si>
</sst>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31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n">
        <f aca="false">COUNTIF('Casos de prueba'!$B:$B,A5)</f>
        <v>32</v>
      </c>
      <c r="C5" s="4" t="n">
        <f aca="false">COUNTIFS('Casos de prueba'!$B:$B,$A5,'Casos de prueba'!$L:$L,"Aprobado")</f>
        <v>0</v>
      </c>
      <c r="D5" s="4" t="n">
        <f aca="false">COUNTIFS('Casos de prueba'!$B:$B,$A5,'Casos de prueba'!$L:$L,"Fallido")</f>
        <v>0</v>
      </c>
      <c r="E5" s="4" t="n">
        <f aca="false">COUNTIFS('Casos de prueba'!$B:$B,$A5,'Casos de prueba'!$L:$L,"Bloqueado")</f>
        <v>0</v>
      </c>
      <c r="F5" s="4" t="n">
        <f aca="false">COUNTIFS('Casos de prueba'!$B:$B,$A5,'Casos de prueba'!$L:$L,"Pendiente")</f>
        <v>32</v>
      </c>
      <c r="G5" s="5" t="n">
        <f aca="false">IF(B5=0,0,C5/B5)</f>
        <v>0</v>
      </c>
    </row>
    <row r="6" customFormat="false" ht="15" hidden="false" customHeight="false" outlineLevel="0" collapsed="false">
      <c r="A6" s="4" t="s">
        <v>10</v>
      </c>
      <c r="B6" s="4" t="n">
        <f aca="false">COUNTIF('Casos de prueba'!$B:$B,A6)</f>
        <v>9</v>
      </c>
      <c r="C6" s="4" t="n">
        <f aca="false">COUNTIFS('Casos de prueba'!$B:$B,$A6,'Casos de prueba'!$L:$L,"Aprobado")</f>
        <v>0</v>
      </c>
      <c r="D6" s="4" t="n">
        <f aca="false">COUNTIFS('Casos de prueba'!$B:$B,$A6,'Casos de prueba'!$L:$L,"Fallido")</f>
        <v>0</v>
      </c>
      <c r="E6" s="4" t="n">
        <f aca="false">COUNTIFS('Casos de prueba'!$B:$B,$A6,'Casos de prueba'!$L:$L,"Bloqueado")</f>
        <v>0</v>
      </c>
      <c r="F6" s="4" t="n">
        <f aca="false">COUNTIFS('Casos de prueba'!$B:$B,$A6,'Casos de prueba'!$L:$L,"Pendiente")</f>
        <v>9</v>
      </c>
      <c r="G6" s="5" t="n">
        <f aca="false">IF(B6=0,0,C6/B6)</f>
        <v>0</v>
      </c>
    </row>
    <row r="7" customFormat="false" ht="15" hidden="false" customHeight="false" outlineLevel="0" collapsed="false">
      <c r="A7" s="4" t="s">
        <v>11</v>
      </c>
      <c r="B7" s="4" t="n">
        <f aca="false">COUNTIF('Casos de prueba'!$B:$B,A7)</f>
        <v>6</v>
      </c>
      <c r="C7" s="4" t="n">
        <f aca="false">COUNTIFS('Casos de prueba'!$B:$B,$A7,'Casos de prueba'!$L:$L,"Aprobado")</f>
        <v>0</v>
      </c>
      <c r="D7" s="4" t="n">
        <f aca="false">COUNTIFS('Casos de prueba'!$B:$B,$A7,'Casos de prueba'!$L:$L,"Fallido")</f>
        <v>0</v>
      </c>
      <c r="E7" s="4" t="n">
        <f aca="false">COUNTIFS('Casos de prueba'!$B:$B,$A7,'Casos de prueba'!$L:$L,"Bloqueado")</f>
        <v>0</v>
      </c>
      <c r="F7" s="4" t="n">
        <f aca="false">COUNTIFS('Casos de prueba'!$B:$B,$A7,'Casos de prueba'!$L:$L,"Pendiente")</f>
        <v>6</v>
      </c>
      <c r="G7" s="5" t="n">
        <f aca="false">IF(B7=0,0,C7/B7)</f>
        <v>0</v>
      </c>
    </row>
    <row r="8" customFormat="false" ht="15" hidden="false" customHeight="false" outlineLevel="0" collapsed="false">
      <c r="A8" s="4" t="s">
        <v>12</v>
      </c>
      <c r="B8" s="4" t="n">
        <f aca="false">COUNTIF('Casos de prueba'!$B:$B,A8)</f>
        <v>5</v>
      </c>
      <c r="C8" s="4" t="n">
        <f aca="false">COUNTIFS('Casos de prueba'!$B:$B,$A8,'Casos de prueba'!$L:$L,"Aprobado")</f>
        <v>0</v>
      </c>
      <c r="D8" s="4" t="n">
        <f aca="false">COUNTIFS('Casos de prueba'!$B:$B,$A8,'Casos de prueba'!$L:$L,"Fallido")</f>
        <v>0</v>
      </c>
      <c r="E8" s="4" t="n">
        <f aca="false">COUNTIFS('Casos de prueba'!$B:$B,$A8,'Casos de prueba'!$L:$L,"Bloqueado")</f>
        <v>0</v>
      </c>
      <c r="F8" s="4" t="n">
        <f aca="false">COUNTIFS('Casos de prueba'!$B:$B,$A8,'Casos de prueba'!$L:$L,"Pendiente")</f>
        <v>5</v>
      </c>
      <c r="G8" s="5" t="n">
        <f aca="false">IF(B8=0,0,C8/B8)</f>
        <v>0</v>
      </c>
    </row>
    <row r="9" customFormat="false" ht="15" hidden="false" customHeight="false" outlineLevel="0" collapsed="false">
      <c r="A9" s="4" t="s">
        <v>13</v>
      </c>
      <c r="B9" s="4" t="n">
        <f aca="false">COUNTIF('Casos de prueba'!$B:$B,A9)</f>
        <v>21</v>
      </c>
      <c r="C9" s="4" t="n">
        <f aca="false">COUNTIFS('Casos de prueba'!$B:$B,$A9,'Casos de prueba'!$L:$L,"Aprobado")</f>
        <v>0</v>
      </c>
      <c r="D9" s="4" t="n">
        <f aca="false">COUNTIFS('Casos de prueba'!$B:$B,$A9,'Casos de prueba'!$L:$L,"Fallido")</f>
        <v>0</v>
      </c>
      <c r="E9" s="4" t="n">
        <f aca="false">COUNTIFS('Casos de prueba'!$B:$B,$A9,'Casos de prueba'!$L:$L,"Bloqueado")</f>
        <v>0</v>
      </c>
      <c r="F9" s="4" t="n">
        <f aca="false">COUNTIFS('Casos de prueba'!$B:$B,$A9,'Casos de prueba'!$L:$L,"Pendiente")</f>
        <v>21</v>
      </c>
      <c r="G9" s="5" t="n">
        <f aca="false">IF(B9=0,0,C9/B9)</f>
        <v>0</v>
      </c>
    </row>
    <row r="10" customFormat="false" ht="15" hidden="false" customHeight="false" outlineLevel="0" collapsed="false">
      <c r="A10" s="4" t="s">
        <v>14</v>
      </c>
      <c r="B10" s="4" t="n">
        <f aca="false">COUNTIF('Casos de prueba'!$B:$B,A10)</f>
        <v>7</v>
      </c>
      <c r="C10" s="4" t="n">
        <f aca="false">COUNTIFS('Casos de prueba'!$B:$B,$A10,'Casos de prueba'!$L:$L,"Aprobado")</f>
        <v>0</v>
      </c>
      <c r="D10" s="4" t="n">
        <f aca="false">COUNTIFS('Casos de prueba'!$B:$B,$A10,'Casos de prueba'!$L:$L,"Fallido")</f>
        <v>0</v>
      </c>
      <c r="E10" s="4" t="n">
        <f aca="false">COUNTIFS('Casos de prueba'!$B:$B,$A10,'Casos de prueba'!$L:$L,"Bloqueado")</f>
        <v>0</v>
      </c>
      <c r="F10" s="4" t="n">
        <f aca="false">COUNTIFS('Casos de prueba'!$B:$B,$A10,'Casos de prueba'!$L:$L,"Pendiente")</f>
        <v>7</v>
      </c>
      <c r="G10" s="5" t="n">
        <f aca="false">IF(B10=0,0,C10/B10)</f>
        <v>0</v>
      </c>
    </row>
    <row r="11" customFormat="false" ht="15" hidden="false" customHeight="false" outlineLevel="0" collapsed="false">
      <c r="A11" s="4" t="s">
        <v>15</v>
      </c>
      <c r="B11" s="4" t="n">
        <f aca="false">COUNTIF('Casos de prueba'!$B:$B,A11)</f>
        <v>6</v>
      </c>
      <c r="C11" s="4" t="n">
        <f aca="false">COUNTIFS('Casos de prueba'!$B:$B,$A11,'Casos de prueba'!$L:$L,"Aprobado")</f>
        <v>0</v>
      </c>
      <c r="D11" s="4" t="n">
        <f aca="false">COUNTIFS('Casos de prueba'!$B:$B,$A11,'Casos de prueba'!$L:$L,"Fallido")</f>
        <v>0</v>
      </c>
      <c r="E11" s="4" t="n">
        <f aca="false">COUNTIFS('Casos de prueba'!$B:$B,$A11,'Casos de prueba'!$L:$L,"Bloqueado")</f>
        <v>0</v>
      </c>
      <c r="F11" s="4" t="n">
        <f aca="false">COUNTIFS('Casos de prueba'!$B:$B,$A11,'Casos de prueba'!$L:$L,"Pendiente")</f>
        <v>6</v>
      </c>
      <c r="G11" s="5" t="n">
        <f aca="false">IF(B11=0,0,C11/B11)</f>
        <v>0</v>
      </c>
    </row>
    <row r="12" customFormat="false" ht="15" hidden="false" customHeight="false" outlineLevel="0" collapsed="false">
      <c r="A12" s="4" t="s">
        <v>16</v>
      </c>
      <c r="B12" s="4" t="n">
        <f aca="false">COUNTIF('Casos de prueba'!$B:$B,A12)</f>
        <v>7</v>
      </c>
      <c r="C12" s="4" t="n">
        <f aca="false">COUNTIFS('Casos de prueba'!$B:$B,$A12,'Casos de prueba'!$L:$L,"Aprobado")</f>
        <v>0</v>
      </c>
      <c r="D12" s="4" t="n">
        <f aca="false">COUNTIFS('Casos de prueba'!$B:$B,$A12,'Casos de prueba'!$L:$L,"Fallido")</f>
        <v>0</v>
      </c>
      <c r="E12" s="4" t="n">
        <f aca="false">COUNTIFS('Casos de prueba'!$B:$B,$A12,'Casos de prueba'!$L:$L,"Bloqueado")</f>
        <v>0</v>
      </c>
      <c r="F12" s="4" t="n">
        <f aca="false">COUNTIFS('Casos de prueba'!$B:$B,$A12,'Casos de prueba'!$L:$L,"Pendiente")</f>
        <v>7</v>
      </c>
      <c r="G12" s="5" t="n">
        <f aca="false">IF(B12=0,0,C12/B12)</f>
        <v>0</v>
      </c>
    </row>
    <row r="13" customFormat="false" ht="15" hidden="false" customHeight="false" outlineLevel="0" collapsed="false">
      <c r="A13" s="4" t="s">
        <v>17</v>
      </c>
      <c r="B13" s="4" t="n">
        <f aca="false">COUNTIF('Casos de prueba'!$B:$B,A13)</f>
        <v>9</v>
      </c>
      <c r="C13" s="4" t="n">
        <f aca="false">COUNTIFS('Casos de prueba'!$B:$B,$A13,'Casos de prueba'!$L:$L,"Aprobado")</f>
        <v>0</v>
      </c>
      <c r="D13" s="4" t="n">
        <f aca="false">COUNTIFS('Casos de prueba'!$B:$B,$A13,'Casos de prueba'!$L:$L,"Fallido")</f>
        <v>0</v>
      </c>
      <c r="E13" s="4" t="n">
        <f aca="false">COUNTIFS('Casos de prueba'!$B:$B,$A13,'Casos de prueba'!$L:$L,"Bloqueado")</f>
        <v>0</v>
      </c>
      <c r="F13" s="4" t="n">
        <f aca="false">COUNTIFS('Casos de prueba'!$B:$B,$A13,'Casos de prueba'!$L:$L,"Pendiente")</f>
        <v>9</v>
      </c>
      <c r="G13" s="5" t="n">
        <f aca="false">IF(B13=0,0,C13/B13)</f>
        <v>0</v>
      </c>
    </row>
    <row r="14" customFormat="false" ht="15" hidden="false" customHeight="false" outlineLevel="0" collapsed="false">
      <c r="A14" s="4" t="s">
        <v>18</v>
      </c>
      <c r="B14" s="4" t="n">
        <f aca="false">COUNTIF('Casos de prueba'!$B:$B,A14)</f>
        <v>12</v>
      </c>
      <c r="C14" s="4" t="n">
        <f aca="false">COUNTIFS('Casos de prueba'!$B:$B,$A14,'Casos de prueba'!$L:$L,"Aprobado")</f>
        <v>0</v>
      </c>
      <c r="D14" s="4" t="n">
        <f aca="false">COUNTIFS('Casos de prueba'!$B:$B,$A14,'Casos de prueba'!$L:$L,"Fallido")</f>
        <v>0</v>
      </c>
      <c r="E14" s="4" t="n">
        <f aca="false">COUNTIFS('Casos de prueba'!$B:$B,$A14,'Casos de prueba'!$L:$L,"Bloqueado")</f>
        <v>0</v>
      </c>
      <c r="F14" s="4" t="n">
        <f aca="false">COUNTIFS('Casos de prueba'!$B:$B,$A14,'Casos de prueba'!$L:$L,"Pendiente")</f>
        <v>12</v>
      </c>
      <c r="G14" s="5" t="n">
        <f aca="false">IF(B14=0,0,C14/B14)</f>
        <v>0</v>
      </c>
    </row>
    <row r="15" customFormat="false" ht="15" hidden="false" customHeight="false" outlineLevel="0" collapsed="false">
      <c r="A15" s="4" t="s">
        <v>19</v>
      </c>
      <c r="B15" s="4" t="n">
        <f aca="false">COUNTIF('Casos de prueba'!$B:$B,A15)</f>
        <v>16</v>
      </c>
      <c r="C15" s="4" t="n">
        <f aca="false">COUNTIFS('Casos de prueba'!$B:$B,$A15,'Casos de prueba'!$L:$L,"Aprobado")</f>
        <v>0</v>
      </c>
      <c r="D15" s="4" t="n">
        <f aca="false">COUNTIFS('Casos de prueba'!$B:$B,$A15,'Casos de prueba'!$L:$L,"Fallido")</f>
        <v>0</v>
      </c>
      <c r="E15" s="4" t="n">
        <f aca="false">COUNTIFS('Casos de prueba'!$B:$B,$A15,'Casos de prueba'!$L:$L,"Bloqueado")</f>
        <v>0</v>
      </c>
      <c r="F15" s="4" t="n">
        <f aca="false">COUNTIFS('Casos de prueba'!$B:$B,$A15,'Casos de prueba'!$L:$L,"Pendiente")</f>
        <v>16</v>
      </c>
      <c r="G15" s="5" t="n">
        <f aca="false">IF(B15=0,0,C15/B15)</f>
        <v>0</v>
      </c>
    </row>
    <row r="16" customFormat="false" ht="15" hidden="false" customHeight="false" outlineLevel="0" collapsed="false">
      <c r="A16" s="4" t="s">
        <v>20</v>
      </c>
      <c r="B16" s="4" t="n">
        <f aca="false">COUNTIF('Casos de prueba'!$B:$B,A16)</f>
        <v>5</v>
      </c>
      <c r="C16" s="4" t="n">
        <f aca="false">COUNTIFS('Casos de prueba'!$B:$B,$A16,'Casos de prueba'!$L:$L,"Aprobado")</f>
        <v>0</v>
      </c>
      <c r="D16" s="4" t="n">
        <f aca="false">COUNTIFS('Casos de prueba'!$B:$B,$A16,'Casos de prueba'!$L:$L,"Fallido")</f>
        <v>0</v>
      </c>
      <c r="E16" s="4" t="n">
        <f aca="false">COUNTIFS('Casos de prueba'!$B:$B,$A16,'Casos de prueba'!$L:$L,"Bloqueado")</f>
        <v>0</v>
      </c>
      <c r="F16" s="4" t="n">
        <f aca="false">COUNTIFS('Casos de prueba'!$B:$B,$A16,'Casos de prueba'!$L:$L,"Pendiente")</f>
        <v>5</v>
      </c>
      <c r="G16" s="5" t="n">
        <f aca="false">IF(B16=0,0,C16/B16)</f>
        <v>0</v>
      </c>
    </row>
    <row r="17" customFormat="false" ht="15" hidden="false" customHeight="false" outlineLevel="0" collapsed="false">
      <c r="A17" s="4" t="s">
        <v>21</v>
      </c>
      <c r="B17" s="4" t="n">
        <f aca="false">COUNTIF('Casos de prueba'!$B:$B,A17)</f>
        <v>4</v>
      </c>
      <c r="C17" s="4" t="n">
        <f aca="false">COUNTIFS('Casos de prueba'!$B:$B,$A17,'Casos de prueba'!$L:$L,"Aprobado")</f>
        <v>0</v>
      </c>
      <c r="D17" s="4" t="n">
        <f aca="false">COUNTIFS('Casos de prueba'!$B:$B,$A17,'Casos de prueba'!$L:$L,"Fallido")</f>
        <v>0</v>
      </c>
      <c r="E17" s="4" t="n">
        <f aca="false">COUNTIFS('Casos de prueba'!$B:$B,$A17,'Casos de prueba'!$L:$L,"Bloqueado")</f>
        <v>0</v>
      </c>
      <c r="F17" s="4" t="n">
        <f aca="false">COUNTIFS('Casos de prueba'!$B:$B,$A17,'Casos de prueba'!$L:$L,"Pendiente")</f>
        <v>4</v>
      </c>
      <c r="G17" s="5" t="n">
        <f aca="false">IF(B17=0,0,C17/B17)</f>
        <v>0</v>
      </c>
    </row>
    <row r="18" customFormat="false" ht="15" hidden="false" customHeight="false" outlineLevel="0" collapsed="false">
      <c r="A18" s="4" t="s">
        <v>22</v>
      </c>
      <c r="B18" s="4" t="n">
        <f aca="false">COUNTIF('Casos de prueba'!$B:$B,A18)</f>
        <v>6</v>
      </c>
      <c r="C18" s="4" t="n">
        <f aca="false">COUNTIFS('Casos de prueba'!$B:$B,$A18,'Casos de prueba'!$L:$L,"Aprobado")</f>
        <v>0</v>
      </c>
      <c r="D18" s="4" t="n">
        <f aca="false">COUNTIFS('Casos de prueba'!$B:$B,$A18,'Casos de prueba'!$L:$L,"Fallido")</f>
        <v>0</v>
      </c>
      <c r="E18" s="4" t="n">
        <f aca="false">COUNTIFS('Casos de prueba'!$B:$B,$A18,'Casos de prueba'!$L:$L,"Bloqueado")</f>
        <v>0</v>
      </c>
      <c r="F18" s="4" t="n">
        <f aca="false">COUNTIFS('Casos de prueba'!$B:$B,$A18,'Casos de prueba'!$L:$L,"Pendiente")</f>
        <v>6</v>
      </c>
      <c r="G18" s="5" t="n">
        <f aca="false">IF(B18=0,0,C18/B18)</f>
        <v>0</v>
      </c>
    </row>
    <row r="19" customFormat="false" ht="15" hidden="false" customHeight="false" outlineLevel="0" collapsed="false">
      <c r="A19" s="4" t="s">
        <v>23</v>
      </c>
      <c r="B19" s="4" t="n">
        <f aca="false">COUNTIF('Casos de prueba'!$B:$B,A19)</f>
        <v>6</v>
      </c>
      <c r="C19" s="4" t="n">
        <f aca="false">COUNTIFS('Casos de prueba'!$B:$B,$A19,'Casos de prueba'!$L:$L,"Aprobado")</f>
        <v>0</v>
      </c>
      <c r="D19" s="4" t="n">
        <f aca="false">COUNTIFS('Casos de prueba'!$B:$B,$A19,'Casos de prueba'!$L:$L,"Fallido")</f>
        <v>0</v>
      </c>
      <c r="E19" s="4" t="n">
        <f aca="false">COUNTIFS('Casos de prueba'!$B:$B,$A19,'Casos de prueba'!$L:$L,"Bloqueado")</f>
        <v>0</v>
      </c>
      <c r="F19" s="4" t="n">
        <f aca="false">COUNTIFS('Casos de prueba'!$B:$B,$A19,'Casos de prueba'!$L:$L,"Pendiente")</f>
        <v>6</v>
      </c>
      <c r="G19" s="5" t="n">
        <f aca="false">IF(B19=0,0,C19/B19)</f>
        <v>0</v>
      </c>
    </row>
    <row r="20" customFormat="false" ht="15" hidden="false" customHeight="false" outlineLevel="0" collapsed="false">
      <c r="A20" s="6" t="s">
        <v>24</v>
      </c>
      <c r="B20" s="6" t="n">
        <f aca="false">SUM(B5:B19)</f>
        <v>151</v>
      </c>
      <c r="C20" s="6" t="n">
        <f aca="false">SUM(C5:C19)</f>
        <v>0</v>
      </c>
      <c r="D20" s="6" t="n">
        <f aca="false">SUM(D5:D19)</f>
        <v>0</v>
      </c>
      <c r="E20" s="6" t="n">
        <f aca="false">SUM(E5:E19)</f>
        <v>0</v>
      </c>
      <c r="F20" s="6" t="n">
        <f aca="false">SUM(F5:F19)</f>
        <v>151</v>
      </c>
      <c r="G20" s="7" t="n">
        <f aca="false">IF(B20=0,0,C20/B20)</f>
        <v>0</v>
      </c>
    </row>
    <row r="22" customFormat="false" ht="15" hidden="false" customHeight="false" outlineLevel="0" collapsed="false">
      <c r="A22" s="8" t="s">
        <v>25</v>
      </c>
    </row>
    <row r="23" customFormat="false" ht="15" hidden="false" customHeight="false" outlineLevel="0" collapsed="false">
      <c r="A23" s="9" t="s">
        <v>26</v>
      </c>
      <c r="B23" s="9" t="s">
        <v>3</v>
      </c>
    </row>
    <row r="24" customFormat="false" ht="15" hidden="false" customHeight="false" outlineLevel="0" collapsed="false">
      <c r="A24" s="4" t="s">
        <v>27</v>
      </c>
      <c r="B24" s="4" t="n">
        <f aca="false">COUNTIF('Casos de prueba'!$D:$D,A24)</f>
        <v>42</v>
      </c>
    </row>
    <row r="25" customFormat="false" ht="15" hidden="false" customHeight="false" outlineLevel="0" collapsed="false">
      <c r="A25" s="4" t="s">
        <v>28</v>
      </c>
      <c r="B25" s="4" t="n">
        <f aca="false">COUNTIF('Casos de prueba'!$D:$D,A25)</f>
        <v>66</v>
      </c>
    </row>
    <row r="26" customFormat="false" ht="15" hidden="false" customHeight="false" outlineLevel="0" collapsed="false">
      <c r="A26" s="4" t="s">
        <v>29</v>
      </c>
      <c r="B26" s="4" t="n">
        <f aca="false">COUNTIF('Casos de prueba'!$D:$D,A26)</f>
        <v>11</v>
      </c>
    </row>
    <row r="27" customFormat="false" ht="15" hidden="false" customHeight="false" outlineLevel="0" collapsed="false">
      <c r="A27" s="4" t="s">
        <v>30</v>
      </c>
      <c r="B27" s="4" t="n">
        <f aca="false">COUNTIF('Casos de prueba'!$D:$D,A27)</f>
        <v>22</v>
      </c>
    </row>
    <row r="28" customFormat="false" ht="15" hidden="false" customHeight="false" outlineLevel="0" collapsed="false">
      <c r="A28" s="4" t="s">
        <v>31</v>
      </c>
      <c r="B28" s="4" t="n">
        <f aca="false">COUNTIF('Casos de prueba'!$D:$D,A28)</f>
        <v>2</v>
      </c>
    </row>
    <row r="29" customFormat="false" ht="15" hidden="false" customHeight="false" outlineLevel="0" collapsed="false">
      <c r="A29" s="4" t="s">
        <v>32</v>
      </c>
      <c r="B29" s="4" t="n">
        <f aca="false">COUNTIF('Casos de prueba'!$D:$D,A29)</f>
        <v>8</v>
      </c>
    </row>
    <row r="32" customFormat="false" ht="15" hidden="false" customHeight="false" outlineLevel="0" collapsed="false">
      <c r="A32" s="8" t="s">
        <v>33</v>
      </c>
    </row>
    <row r="33" customFormat="false" ht="15" hidden="false" customHeight="false" outlineLevel="0" collapsed="false">
      <c r="A33" s="10" t="s">
        <v>34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38"/>
    <col collapsed="false" customWidth="true" hidden="false" outlineLevel="0" max="7" min="7" style="0" width="28"/>
    <col collapsed="false" customWidth="true" hidden="false" outlineLevel="0" max="8" min="8" style="0" width="44"/>
    <col collapsed="false" customWidth="true" hidden="false" outlineLevel="0" max="9" min="9" style="0" width="30"/>
    <col collapsed="false" customWidth="true" hidden="false" outlineLevel="0" max="10" min="10" style="0" width="44"/>
    <col collapsed="false" customWidth="true" hidden="false" outlineLevel="0" max="11" min="11" style="0" width="26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14"/>
    <col collapsed="false" customWidth="true" hidden="false" outlineLevel="0" max="15" min="15" style="0" width="36"/>
  </cols>
  <sheetData>
    <row r="1" customFormat="false" ht="30" hidden="false" customHeight="true" outlineLevel="0" collapsed="false">
      <c r="A1" s="11" t="s">
        <v>35</v>
      </c>
      <c r="B1" s="11" t="s">
        <v>2</v>
      </c>
      <c r="C1" s="11" t="s">
        <v>36</v>
      </c>
      <c r="D1" s="11" t="s">
        <v>26</v>
      </c>
      <c r="E1" s="11" t="s">
        <v>37</v>
      </c>
      <c r="F1" s="11" t="s">
        <v>38</v>
      </c>
      <c r="G1" s="11" t="s">
        <v>39</v>
      </c>
      <c r="H1" s="11" t="s">
        <v>40</v>
      </c>
      <c r="I1" s="11" t="s">
        <v>41</v>
      </c>
      <c r="J1" s="11" t="s">
        <v>42</v>
      </c>
      <c r="K1" s="11" t="s">
        <v>43</v>
      </c>
      <c r="L1" s="11" t="s">
        <v>44</v>
      </c>
      <c r="M1" s="11" t="s">
        <v>45</v>
      </c>
      <c r="N1" s="11" t="s">
        <v>46</v>
      </c>
      <c r="O1" s="11" t="s">
        <v>47</v>
      </c>
    </row>
    <row r="2" customFormat="false" ht="32.8" hidden="false" customHeight="false" outlineLevel="0" collapsed="false">
      <c r="A2" s="12" t="s">
        <v>48</v>
      </c>
      <c r="B2" s="12" t="s">
        <v>9</v>
      </c>
      <c r="C2" s="12" t="s">
        <v>49</v>
      </c>
      <c r="D2" s="12" t="s">
        <v>27</v>
      </c>
      <c r="E2" s="12" t="s">
        <v>50</v>
      </c>
      <c r="F2" s="12" t="s">
        <v>51</v>
      </c>
      <c r="G2" s="12" t="s">
        <v>52</v>
      </c>
      <c r="H2" s="12" t="s">
        <v>53</v>
      </c>
      <c r="I2" s="12" t="s">
        <v>54</v>
      </c>
      <c r="J2" s="12" t="s">
        <v>55</v>
      </c>
      <c r="K2" s="12"/>
      <c r="L2" s="12" t="s">
        <v>56</v>
      </c>
      <c r="M2" s="12"/>
      <c r="N2" s="12"/>
      <c r="O2" s="12"/>
    </row>
    <row r="3" customFormat="false" ht="15" hidden="false" customHeight="false" outlineLevel="0" collapsed="false">
      <c r="A3" s="12" t="s">
        <v>57</v>
      </c>
      <c r="B3" s="12" t="s">
        <v>9</v>
      </c>
      <c r="C3" s="12" t="s">
        <v>49</v>
      </c>
      <c r="D3" s="12" t="s">
        <v>28</v>
      </c>
      <c r="E3" s="12" t="s">
        <v>50</v>
      </c>
      <c r="F3" s="12" t="s">
        <v>58</v>
      </c>
      <c r="G3" s="12" t="s">
        <v>59</v>
      </c>
      <c r="H3" s="12" t="s">
        <v>60</v>
      </c>
      <c r="I3" s="12" t="s">
        <v>61</v>
      </c>
      <c r="J3" s="12" t="s">
        <v>62</v>
      </c>
      <c r="K3" s="12"/>
      <c r="L3" s="12" t="s">
        <v>56</v>
      </c>
      <c r="M3" s="12"/>
      <c r="N3" s="12"/>
      <c r="O3" s="12"/>
    </row>
    <row r="4" customFormat="false" ht="22.35" hidden="false" customHeight="false" outlineLevel="0" collapsed="false">
      <c r="A4" s="12" t="s">
        <v>63</v>
      </c>
      <c r="B4" s="12" t="s">
        <v>9</v>
      </c>
      <c r="C4" s="12" t="s">
        <v>64</v>
      </c>
      <c r="D4" s="12" t="s">
        <v>28</v>
      </c>
      <c r="E4" s="12" t="s">
        <v>50</v>
      </c>
      <c r="F4" s="12" t="s">
        <v>65</v>
      </c>
      <c r="G4" s="12" t="s">
        <v>59</v>
      </c>
      <c r="H4" s="12" t="s">
        <v>66</v>
      </c>
      <c r="I4" s="12" t="s">
        <v>67</v>
      </c>
      <c r="J4" s="12" t="s">
        <v>68</v>
      </c>
      <c r="K4" s="12"/>
      <c r="L4" s="12" t="s">
        <v>56</v>
      </c>
      <c r="M4" s="12"/>
      <c r="N4" s="12"/>
      <c r="O4" s="12"/>
    </row>
    <row r="5" customFormat="false" ht="22.35" hidden="false" customHeight="false" outlineLevel="0" collapsed="false">
      <c r="A5" s="12" t="s">
        <v>69</v>
      </c>
      <c r="B5" s="12" t="s">
        <v>9</v>
      </c>
      <c r="C5" s="12" t="s">
        <v>64</v>
      </c>
      <c r="D5" s="12" t="s">
        <v>28</v>
      </c>
      <c r="E5" s="12" t="s">
        <v>70</v>
      </c>
      <c r="F5" s="12" t="s">
        <v>71</v>
      </c>
      <c r="G5" s="12" t="s">
        <v>59</v>
      </c>
      <c r="H5" s="12" t="s">
        <v>72</v>
      </c>
      <c r="I5" s="12" t="s">
        <v>73</v>
      </c>
      <c r="J5" s="12" t="s">
        <v>74</v>
      </c>
      <c r="K5" s="12"/>
      <c r="L5" s="12" t="s">
        <v>56</v>
      </c>
      <c r="M5" s="12"/>
      <c r="N5" s="12"/>
      <c r="O5" s="12"/>
    </row>
    <row r="6" customFormat="false" ht="22.35" hidden="false" customHeight="false" outlineLevel="0" collapsed="false">
      <c r="A6" s="12" t="s">
        <v>75</v>
      </c>
      <c r="B6" s="12" t="s">
        <v>9</v>
      </c>
      <c r="C6" s="12" t="s">
        <v>64</v>
      </c>
      <c r="D6" s="12" t="s">
        <v>29</v>
      </c>
      <c r="E6" s="12" t="s">
        <v>70</v>
      </c>
      <c r="F6" s="12" t="s">
        <v>76</v>
      </c>
      <c r="G6" s="12" t="s">
        <v>59</v>
      </c>
      <c r="H6" s="12" t="s">
        <v>77</v>
      </c>
      <c r="I6" s="12" t="s">
        <v>78</v>
      </c>
      <c r="J6" s="12" t="s">
        <v>79</v>
      </c>
      <c r="K6" s="12"/>
      <c r="L6" s="12" t="s">
        <v>56</v>
      </c>
      <c r="M6" s="12"/>
      <c r="N6" s="12"/>
      <c r="O6" s="12"/>
    </row>
    <row r="7" customFormat="false" ht="15" hidden="false" customHeight="false" outlineLevel="0" collapsed="false">
      <c r="A7" s="12" t="s">
        <v>80</v>
      </c>
      <c r="B7" s="12" t="s">
        <v>9</v>
      </c>
      <c r="C7" s="12" t="s">
        <v>49</v>
      </c>
      <c r="D7" s="12" t="s">
        <v>28</v>
      </c>
      <c r="E7" s="12" t="s">
        <v>50</v>
      </c>
      <c r="F7" s="12" t="s">
        <v>81</v>
      </c>
      <c r="G7" s="12" t="s">
        <v>82</v>
      </c>
      <c r="H7" s="12" t="s">
        <v>83</v>
      </c>
      <c r="I7" s="12" t="s">
        <v>84</v>
      </c>
      <c r="J7" s="12" t="s">
        <v>85</v>
      </c>
      <c r="K7" s="12"/>
      <c r="L7" s="12" t="s">
        <v>56</v>
      </c>
      <c r="M7" s="12"/>
      <c r="N7" s="12"/>
      <c r="O7" s="12"/>
    </row>
    <row r="8" customFormat="false" ht="22.35" hidden="false" customHeight="false" outlineLevel="0" collapsed="false">
      <c r="A8" s="12" t="s">
        <v>86</v>
      </c>
      <c r="B8" s="12" t="s">
        <v>9</v>
      </c>
      <c r="C8" s="12" t="s">
        <v>87</v>
      </c>
      <c r="D8" s="12" t="s">
        <v>27</v>
      </c>
      <c r="E8" s="12" t="s">
        <v>50</v>
      </c>
      <c r="F8" s="12" t="s">
        <v>88</v>
      </c>
      <c r="G8" s="12" t="s">
        <v>89</v>
      </c>
      <c r="H8" s="12" t="s">
        <v>90</v>
      </c>
      <c r="I8" s="12" t="s">
        <v>91</v>
      </c>
      <c r="J8" s="12" t="s">
        <v>92</v>
      </c>
      <c r="K8" s="12"/>
      <c r="L8" s="12" t="s">
        <v>56</v>
      </c>
      <c r="M8" s="12"/>
      <c r="N8" s="12"/>
      <c r="O8" s="12"/>
    </row>
    <row r="9" customFormat="false" ht="15" hidden="false" customHeight="false" outlineLevel="0" collapsed="false">
      <c r="A9" s="12" t="s">
        <v>93</v>
      </c>
      <c r="B9" s="12" t="s">
        <v>9</v>
      </c>
      <c r="C9" s="12" t="s">
        <v>87</v>
      </c>
      <c r="D9" s="12" t="s">
        <v>28</v>
      </c>
      <c r="E9" s="12" t="s">
        <v>50</v>
      </c>
      <c r="F9" s="12" t="s">
        <v>94</v>
      </c>
      <c r="G9" s="12" t="s">
        <v>89</v>
      </c>
      <c r="H9" s="12" t="s">
        <v>95</v>
      </c>
      <c r="I9" s="12" t="s">
        <v>96</v>
      </c>
      <c r="J9" s="12" t="s">
        <v>97</v>
      </c>
      <c r="K9" s="12"/>
      <c r="L9" s="12" t="s">
        <v>56</v>
      </c>
      <c r="M9" s="12"/>
      <c r="N9" s="12"/>
      <c r="O9" s="12"/>
    </row>
    <row r="10" customFormat="false" ht="22.35" hidden="false" customHeight="false" outlineLevel="0" collapsed="false">
      <c r="A10" s="12" t="s">
        <v>98</v>
      </c>
      <c r="B10" s="12" t="s">
        <v>9</v>
      </c>
      <c r="C10" s="12" t="s">
        <v>87</v>
      </c>
      <c r="D10" s="12" t="s">
        <v>28</v>
      </c>
      <c r="E10" s="12" t="s">
        <v>70</v>
      </c>
      <c r="F10" s="12" t="s">
        <v>99</v>
      </c>
      <c r="G10" s="12" t="s">
        <v>100</v>
      </c>
      <c r="H10" s="12" t="s">
        <v>101</v>
      </c>
      <c r="I10" s="12" t="s">
        <v>102</v>
      </c>
      <c r="J10" s="12" t="s">
        <v>103</v>
      </c>
      <c r="K10" s="12"/>
      <c r="L10" s="12" t="s">
        <v>56</v>
      </c>
      <c r="M10" s="12"/>
      <c r="N10" s="12"/>
      <c r="O10" s="12"/>
    </row>
    <row r="11" customFormat="false" ht="15" hidden="false" customHeight="false" outlineLevel="0" collapsed="false">
      <c r="A11" s="12" t="s">
        <v>104</v>
      </c>
      <c r="B11" s="12" t="s">
        <v>9</v>
      </c>
      <c r="C11" s="12" t="s">
        <v>87</v>
      </c>
      <c r="D11" s="12" t="s">
        <v>28</v>
      </c>
      <c r="E11" s="12" t="s">
        <v>105</v>
      </c>
      <c r="F11" s="12" t="s">
        <v>106</v>
      </c>
      <c r="G11" s="12" t="s">
        <v>107</v>
      </c>
      <c r="H11" s="12" t="s">
        <v>108</v>
      </c>
      <c r="I11" s="12" t="s">
        <v>109</v>
      </c>
      <c r="J11" s="12" t="s">
        <v>110</v>
      </c>
      <c r="K11" s="12"/>
      <c r="L11" s="12" t="s">
        <v>56</v>
      </c>
      <c r="M11" s="12"/>
      <c r="N11" s="12"/>
      <c r="O11" s="12"/>
    </row>
    <row r="12" customFormat="false" ht="15" hidden="false" customHeight="false" outlineLevel="0" collapsed="false">
      <c r="A12" s="12" t="s">
        <v>111</v>
      </c>
      <c r="B12" s="12" t="s">
        <v>9</v>
      </c>
      <c r="C12" s="12" t="s">
        <v>112</v>
      </c>
      <c r="D12" s="12" t="s">
        <v>28</v>
      </c>
      <c r="E12" s="12" t="s">
        <v>105</v>
      </c>
      <c r="F12" s="12" t="s">
        <v>113</v>
      </c>
      <c r="G12" s="12" t="s">
        <v>107</v>
      </c>
      <c r="H12" s="12" t="s">
        <v>114</v>
      </c>
      <c r="I12" s="12" t="s">
        <v>109</v>
      </c>
      <c r="J12" s="12" t="s">
        <v>115</v>
      </c>
      <c r="K12" s="12"/>
      <c r="L12" s="12" t="s">
        <v>56</v>
      </c>
      <c r="M12" s="12"/>
      <c r="N12" s="12"/>
      <c r="O12" s="12"/>
    </row>
    <row r="13" customFormat="false" ht="15" hidden="false" customHeight="false" outlineLevel="0" collapsed="false">
      <c r="A13" s="12" t="s">
        <v>116</v>
      </c>
      <c r="B13" s="12" t="s">
        <v>9</v>
      </c>
      <c r="C13" s="12" t="s">
        <v>117</v>
      </c>
      <c r="D13" s="12" t="s">
        <v>27</v>
      </c>
      <c r="E13" s="12" t="s">
        <v>50</v>
      </c>
      <c r="F13" s="12" t="s">
        <v>118</v>
      </c>
      <c r="G13" s="12" t="s">
        <v>107</v>
      </c>
      <c r="H13" s="12" t="s">
        <v>119</v>
      </c>
      <c r="I13" s="12" t="s">
        <v>120</v>
      </c>
      <c r="J13" s="12" t="s">
        <v>121</v>
      </c>
      <c r="K13" s="12"/>
      <c r="L13" s="12" t="s">
        <v>56</v>
      </c>
      <c r="M13" s="12"/>
      <c r="N13" s="12"/>
      <c r="O13" s="12"/>
    </row>
    <row r="14" customFormat="false" ht="15" hidden="false" customHeight="false" outlineLevel="0" collapsed="false">
      <c r="A14" s="12" t="s">
        <v>122</v>
      </c>
      <c r="B14" s="12" t="s">
        <v>9</v>
      </c>
      <c r="C14" s="12" t="s">
        <v>117</v>
      </c>
      <c r="D14" s="12" t="s">
        <v>28</v>
      </c>
      <c r="E14" s="12" t="s">
        <v>50</v>
      </c>
      <c r="F14" s="12" t="s">
        <v>123</v>
      </c>
      <c r="G14" s="12" t="s">
        <v>124</v>
      </c>
      <c r="H14" s="12" t="s">
        <v>125</v>
      </c>
      <c r="I14" s="12" t="s">
        <v>126</v>
      </c>
      <c r="J14" s="12" t="s">
        <v>127</v>
      </c>
      <c r="K14" s="12"/>
      <c r="L14" s="12" t="s">
        <v>56</v>
      </c>
      <c r="M14" s="12"/>
      <c r="N14" s="12"/>
      <c r="O14" s="12"/>
    </row>
    <row r="15" customFormat="false" ht="15" hidden="false" customHeight="false" outlineLevel="0" collapsed="false">
      <c r="A15" s="12" t="s">
        <v>128</v>
      </c>
      <c r="B15" s="12" t="s">
        <v>9</v>
      </c>
      <c r="C15" s="12" t="s">
        <v>117</v>
      </c>
      <c r="D15" s="12" t="s">
        <v>28</v>
      </c>
      <c r="E15" s="12" t="s">
        <v>70</v>
      </c>
      <c r="F15" s="12" t="s">
        <v>129</v>
      </c>
      <c r="G15" s="12" t="s">
        <v>59</v>
      </c>
      <c r="H15" s="12" t="s">
        <v>125</v>
      </c>
      <c r="I15" s="12" t="s">
        <v>130</v>
      </c>
      <c r="J15" s="12" t="s">
        <v>131</v>
      </c>
      <c r="K15" s="12"/>
      <c r="L15" s="12" t="s">
        <v>56</v>
      </c>
      <c r="M15" s="12"/>
      <c r="N15" s="12"/>
      <c r="O15" s="12"/>
    </row>
    <row r="16" customFormat="false" ht="15" hidden="false" customHeight="false" outlineLevel="0" collapsed="false">
      <c r="A16" s="12" t="s">
        <v>132</v>
      </c>
      <c r="B16" s="12" t="s">
        <v>9</v>
      </c>
      <c r="C16" s="12" t="s">
        <v>117</v>
      </c>
      <c r="D16" s="12" t="s">
        <v>28</v>
      </c>
      <c r="E16" s="12" t="s">
        <v>50</v>
      </c>
      <c r="F16" s="12" t="s">
        <v>133</v>
      </c>
      <c r="G16" s="12" t="s">
        <v>107</v>
      </c>
      <c r="H16" s="12" t="s">
        <v>134</v>
      </c>
      <c r="I16" s="12" t="s">
        <v>135</v>
      </c>
      <c r="J16" s="12" t="s">
        <v>136</v>
      </c>
      <c r="K16" s="12"/>
      <c r="L16" s="12" t="s">
        <v>56</v>
      </c>
      <c r="M16" s="12"/>
      <c r="N16" s="12"/>
      <c r="O16" s="12"/>
    </row>
    <row r="17" customFormat="false" ht="43.25" hidden="false" customHeight="false" outlineLevel="0" collapsed="false">
      <c r="A17" s="12" t="s">
        <v>137</v>
      </c>
      <c r="B17" s="12" t="s">
        <v>9</v>
      </c>
      <c r="C17" s="12" t="s">
        <v>64</v>
      </c>
      <c r="D17" s="12" t="s">
        <v>29</v>
      </c>
      <c r="E17" s="12" t="s">
        <v>50</v>
      </c>
      <c r="F17" s="12" t="s">
        <v>138</v>
      </c>
      <c r="G17" s="12" t="s">
        <v>107</v>
      </c>
      <c r="H17" s="12" t="s">
        <v>139</v>
      </c>
      <c r="I17" s="12" t="s">
        <v>140</v>
      </c>
      <c r="J17" s="12" t="s">
        <v>141</v>
      </c>
      <c r="K17" s="12"/>
      <c r="L17" s="12" t="s">
        <v>56</v>
      </c>
      <c r="M17" s="12"/>
      <c r="N17" s="12"/>
      <c r="O17" s="12" t="s">
        <v>142</v>
      </c>
    </row>
    <row r="18" customFormat="false" ht="32.8" hidden="false" customHeight="false" outlineLevel="0" collapsed="false">
      <c r="A18" s="12" t="s">
        <v>143</v>
      </c>
      <c r="B18" s="12" t="s">
        <v>9</v>
      </c>
      <c r="C18" s="12" t="s">
        <v>117</v>
      </c>
      <c r="D18" s="12" t="s">
        <v>28</v>
      </c>
      <c r="E18" s="12" t="s">
        <v>70</v>
      </c>
      <c r="F18" s="12" t="s">
        <v>144</v>
      </c>
      <c r="G18" s="12" t="s">
        <v>145</v>
      </c>
      <c r="H18" s="12" t="s">
        <v>146</v>
      </c>
      <c r="I18" s="12" t="s">
        <v>126</v>
      </c>
      <c r="J18" s="12" t="s">
        <v>147</v>
      </c>
      <c r="K18" s="12"/>
      <c r="L18" s="12" t="s">
        <v>56</v>
      </c>
      <c r="M18" s="12"/>
      <c r="N18" s="12"/>
      <c r="O18" s="12"/>
    </row>
    <row r="19" customFormat="false" ht="15" hidden="false" customHeight="false" outlineLevel="0" collapsed="false">
      <c r="A19" s="12" t="s">
        <v>148</v>
      </c>
      <c r="B19" s="12" t="s">
        <v>9</v>
      </c>
      <c r="C19" s="12" t="s">
        <v>149</v>
      </c>
      <c r="D19" s="12" t="s">
        <v>27</v>
      </c>
      <c r="E19" s="12" t="s">
        <v>50</v>
      </c>
      <c r="F19" s="12" t="s">
        <v>150</v>
      </c>
      <c r="G19" s="12" t="s">
        <v>151</v>
      </c>
      <c r="H19" s="12" t="s">
        <v>152</v>
      </c>
      <c r="I19" s="12" t="s">
        <v>153</v>
      </c>
      <c r="J19" s="12" t="s">
        <v>154</v>
      </c>
      <c r="K19" s="12"/>
      <c r="L19" s="12" t="s">
        <v>56</v>
      </c>
      <c r="M19" s="12"/>
      <c r="N19" s="12"/>
      <c r="O19" s="12"/>
    </row>
    <row r="20" customFormat="false" ht="22.35" hidden="false" customHeight="false" outlineLevel="0" collapsed="false">
      <c r="A20" s="12" t="s">
        <v>155</v>
      </c>
      <c r="B20" s="12" t="s">
        <v>9</v>
      </c>
      <c r="C20" s="12" t="s">
        <v>149</v>
      </c>
      <c r="D20" s="12" t="s">
        <v>28</v>
      </c>
      <c r="E20" s="12" t="s">
        <v>50</v>
      </c>
      <c r="F20" s="12" t="s">
        <v>156</v>
      </c>
      <c r="G20" s="12" t="s">
        <v>157</v>
      </c>
      <c r="H20" s="12" t="s">
        <v>158</v>
      </c>
      <c r="I20" s="12" t="s">
        <v>159</v>
      </c>
      <c r="J20" s="12" t="s">
        <v>160</v>
      </c>
      <c r="K20" s="12"/>
      <c r="L20" s="12" t="s">
        <v>56</v>
      </c>
      <c r="M20" s="12"/>
      <c r="N20" s="12"/>
      <c r="O20" s="12"/>
    </row>
    <row r="21" customFormat="false" ht="15" hidden="false" customHeight="false" outlineLevel="0" collapsed="false">
      <c r="A21" s="12" t="s">
        <v>161</v>
      </c>
      <c r="B21" s="12" t="s">
        <v>9</v>
      </c>
      <c r="C21" s="12" t="s">
        <v>149</v>
      </c>
      <c r="D21" s="12" t="s">
        <v>28</v>
      </c>
      <c r="E21" s="12" t="s">
        <v>70</v>
      </c>
      <c r="F21" s="12" t="s">
        <v>162</v>
      </c>
      <c r="G21" s="12" t="s">
        <v>163</v>
      </c>
      <c r="H21" s="12" t="s">
        <v>164</v>
      </c>
      <c r="I21" s="12" t="s">
        <v>165</v>
      </c>
      <c r="J21" s="12" t="s">
        <v>166</v>
      </c>
      <c r="K21" s="12"/>
      <c r="L21" s="12" t="s">
        <v>56</v>
      </c>
      <c r="M21" s="12"/>
      <c r="N21" s="12"/>
      <c r="O21" s="12"/>
    </row>
    <row r="22" customFormat="false" ht="22.35" hidden="false" customHeight="false" outlineLevel="0" collapsed="false">
      <c r="A22" s="12" t="s">
        <v>167</v>
      </c>
      <c r="B22" s="12" t="s">
        <v>9</v>
      </c>
      <c r="C22" s="12" t="s">
        <v>168</v>
      </c>
      <c r="D22" s="12" t="s">
        <v>32</v>
      </c>
      <c r="E22" s="12" t="s">
        <v>70</v>
      </c>
      <c r="F22" s="12" t="s">
        <v>169</v>
      </c>
      <c r="G22" s="12" t="s">
        <v>170</v>
      </c>
      <c r="H22" s="12" t="s">
        <v>171</v>
      </c>
      <c r="I22" s="12" t="s">
        <v>172</v>
      </c>
      <c r="J22" s="12" t="s">
        <v>173</v>
      </c>
      <c r="K22" s="12"/>
      <c r="L22" s="12" t="s">
        <v>56</v>
      </c>
      <c r="M22" s="12"/>
      <c r="N22" s="12"/>
      <c r="O22" s="12"/>
    </row>
    <row r="23" customFormat="false" ht="22.35" hidden="false" customHeight="false" outlineLevel="0" collapsed="false">
      <c r="A23" s="12" t="s">
        <v>174</v>
      </c>
      <c r="B23" s="12" t="s">
        <v>9</v>
      </c>
      <c r="C23" s="12" t="s">
        <v>168</v>
      </c>
      <c r="D23" s="12" t="s">
        <v>32</v>
      </c>
      <c r="E23" s="12" t="s">
        <v>50</v>
      </c>
      <c r="F23" s="12" t="s">
        <v>175</v>
      </c>
      <c r="G23" s="12" t="s">
        <v>176</v>
      </c>
      <c r="H23" s="12" t="s">
        <v>177</v>
      </c>
      <c r="I23" s="12" t="s">
        <v>172</v>
      </c>
      <c r="J23" s="12" t="s">
        <v>178</v>
      </c>
      <c r="K23" s="12"/>
      <c r="L23" s="12" t="s">
        <v>56</v>
      </c>
      <c r="M23" s="12"/>
      <c r="N23" s="12"/>
      <c r="O23" s="12"/>
    </row>
    <row r="24" customFormat="false" ht="22.35" hidden="false" customHeight="false" outlineLevel="0" collapsed="false">
      <c r="A24" s="12" t="s">
        <v>179</v>
      </c>
      <c r="B24" s="12" t="s">
        <v>9</v>
      </c>
      <c r="C24" s="12" t="s">
        <v>180</v>
      </c>
      <c r="D24" s="12" t="s">
        <v>30</v>
      </c>
      <c r="E24" s="12" t="s">
        <v>50</v>
      </c>
      <c r="F24" s="12" t="s">
        <v>181</v>
      </c>
      <c r="G24" s="12" t="s">
        <v>182</v>
      </c>
      <c r="H24" s="12" t="s">
        <v>183</v>
      </c>
      <c r="I24" s="12" t="s">
        <v>184</v>
      </c>
      <c r="J24" s="12" t="s">
        <v>185</v>
      </c>
      <c r="K24" s="12"/>
      <c r="L24" s="12" t="s">
        <v>56</v>
      </c>
      <c r="M24" s="12"/>
      <c r="N24" s="12"/>
      <c r="O24" s="12"/>
    </row>
    <row r="25" customFormat="false" ht="22.35" hidden="false" customHeight="false" outlineLevel="0" collapsed="false">
      <c r="A25" s="12" t="s">
        <v>186</v>
      </c>
      <c r="B25" s="12" t="s">
        <v>9</v>
      </c>
      <c r="C25" s="12" t="s">
        <v>187</v>
      </c>
      <c r="D25" s="12" t="s">
        <v>27</v>
      </c>
      <c r="E25" s="12" t="s">
        <v>50</v>
      </c>
      <c r="F25" s="12" t="s">
        <v>188</v>
      </c>
      <c r="G25" s="12" t="s">
        <v>189</v>
      </c>
      <c r="H25" s="12" t="s">
        <v>190</v>
      </c>
      <c r="I25" s="12" t="s">
        <v>191</v>
      </c>
      <c r="J25" s="12" t="s">
        <v>192</v>
      </c>
      <c r="K25" s="12"/>
      <c r="L25" s="12" t="s">
        <v>56</v>
      </c>
      <c r="M25" s="12"/>
      <c r="N25" s="12"/>
      <c r="O25" s="12"/>
    </row>
    <row r="26" customFormat="false" ht="22.35" hidden="false" customHeight="false" outlineLevel="0" collapsed="false">
      <c r="A26" s="12" t="s">
        <v>193</v>
      </c>
      <c r="B26" s="12" t="s">
        <v>9</v>
      </c>
      <c r="C26" s="12" t="s">
        <v>187</v>
      </c>
      <c r="D26" s="12" t="s">
        <v>28</v>
      </c>
      <c r="E26" s="12" t="s">
        <v>70</v>
      </c>
      <c r="F26" s="12" t="s">
        <v>194</v>
      </c>
      <c r="G26" s="12" t="s">
        <v>195</v>
      </c>
      <c r="H26" s="12" t="s">
        <v>196</v>
      </c>
      <c r="I26" s="12" t="s">
        <v>197</v>
      </c>
      <c r="J26" s="12" t="s">
        <v>198</v>
      </c>
      <c r="K26" s="12"/>
      <c r="L26" s="12" t="s">
        <v>56</v>
      </c>
      <c r="M26" s="12"/>
      <c r="N26" s="12"/>
      <c r="O26" s="12"/>
    </row>
    <row r="27" customFormat="false" ht="15" hidden="false" customHeight="false" outlineLevel="0" collapsed="false">
      <c r="A27" s="12" t="s">
        <v>199</v>
      </c>
      <c r="B27" s="12" t="s">
        <v>9</v>
      </c>
      <c r="C27" s="12" t="s">
        <v>187</v>
      </c>
      <c r="D27" s="12" t="s">
        <v>28</v>
      </c>
      <c r="E27" s="12" t="s">
        <v>70</v>
      </c>
      <c r="F27" s="12" t="s">
        <v>200</v>
      </c>
      <c r="G27" s="12" t="s">
        <v>201</v>
      </c>
      <c r="H27" s="12" t="s">
        <v>196</v>
      </c>
      <c r="I27" s="12" t="s">
        <v>202</v>
      </c>
      <c r="J27" s="12" t="s">
        <v>203</v>
      </c>
      <c r="K27" s="12"/>
      <c r="L27" s="12" t="s">
        <v>56</v>
      </c>
      <c r="M27" s="12"/>
      <c r="N27" s="12"/>
      <c r="O27" s="12"/>
    </row>
    <row r="28" customFormat="false" ht="22.35" hidden="false" customHeight="false" outlineLevel="0" collapsed="false">
      <c r="A28" s="12" t="s">
        <v>204</v>
      </c>
      <c r="B28" s="12" t="s">
        <v>9</v>
      </c>
      <c r="C28" s="12" t="s">
        <v>205</v>
      </c>
      <c r="D28" s="12" t="s">
        <v>27</v>
      </c>
      <c r="E28" s="12" t="s">
        <v>70</v>
      </c>
      <c r="F28" s="12" t="s">
        <v>206</v>
      </c>
      <c r="G28" s="12" t="s">
        <v>207</v>
      </c>
      <c r="H28" s="12" t="s">
        <v>208</v>
      </c>
      <c r="I28" s="12" t="s">
        <v>209</v>
      </c>
      <c r="J28" s="12" t="s">
        <v>210</v>
      </c>
      <c r="K28" s="12"/>
      <c r="L28" s="12" t="s">
        <v>56</v>
      </c>
      <c r="M28" s="12"/>
      <c r="N28" s="12"/>
      <c r="O28" s="12"/>
    </row>
    <row r="29" customFormat="false" ht="22.35" hidden="false" customHeight="false" outlineLevel="0" collapsed="false">
      <c r="A29" s="12" t="s">
        <v>211</v>
      </c>
      <c r="B29" s="12" t="s">
        <v>9</v>
      </c>
      <c r="C29" s="12" t="s">
        <v>212</v>
      </c>
      <c r="D29" s="12" t="s">
        <v>30</v>
      </c>
      <c r="E29" s="12" t="s">
        <v>50</v>
      </c>
      <c r="F29" s="12" t="s">
        <v>213</v>
      </c>
      <c r="G29" s="12" t="s">
        <v>59</v>
      </c>
      <c r="H29" s="12" t="s">
        <v>214</v>
      </c>
      <c r="I29" s="12" t="s">
        <v>215</v>
      </c>
      <c r="J29" s="12" t="s">
        <v>216</v>
      </c>
      <c r="K29" s="12"/>
      <c r="L29" s="12" t="s">
        <v>56</v>
      </c>
      <c r="M29" s="12"/>
      <c r="N29" s="12"/>
      <c r="O29" s="12"/>
    </row>
    <row r="30" customFormat="false" ht="15" hidden="false" customHeight="false" outlineLevel="0" collapsed="false">
      <c r="A30" s="12" t="s">
        <v>217</v>
      </c>
      <c r="B30" s="12" t="s">
        <v>9</v>
      </c>
      <c r="C30" s="12" t="s">
        <v>218</v>
      </c>
      <c r="D30" s="12" t="s">
        <v>28</v>
      </c>
      <c r="E30" s="12" t="s">
        <v>70</v>
      </c>
      <c r="F30" s="12" t="s">
        <v>219</v>
      </c>
      <c r="G30" s="12" t="s">
        <v>59</v>
      </c>
      <c r="H30" s="12" t="s">
        <v>220</v>
      </c>
      <c r="I30" s="12" t="s">
        <v>221</v>
      </c>
      <c r="J30" s="12" t="s">
        <v>222</v>
      </c>
      <c r="K30" s="12"/>
      <c r="L30" s="12" t="s">
        <v>56</v>
      </c>
      <c r="M30" s="12"/>
      <c r="N30" s="12"/>
      <c r="O30" s="12"/>
    </row>
    <row r="31" customFormat="false" ht="22.35" hidden="false" customHeight="false" outlineLevel="0" collapsed="false">
      <c r="A31" s="12" t="s">
        <v>223</v>
      </c>
      <c r="B31" s="12" t="s">
        <v>9</v>
      </c>
      <c r="C31" s="12" t="s">
        <v>168</v>
      </c>
      <c r="D31" s="12" t="s">
        <v>27</v>
      </c>
      <c r="E31" s="12" t="s">
        <v>70</v>
      </c>
      <c r="F31" s="12" t="s">
        <v>224</v>
      </c>
      <c r="G31" s="12" t="s">
        <v>225</v>
      </c>
      <c r="H31" s="12" t="s">
        <v>226</v>
      </c>
      <c r="I31" s="12" t="s">
        <v>172</v>
      </c>
      <c r="J31" s="12" t="s">
        <v>227</v>
      </c>
      <c r="K31" s="12"/>
      <c r="L31" s="12" t="s">
        <v>56</v>
      </c>
      <c r="M31" s="12"/>
      <c r="N31" s="12"/>
      <c r="O31" s="12"/>
    </row>
    <row r="32" customFormat="false" ht="32.8" hidden="false" customHeight="false" outlineLevel="0" collapsed="false">
      <c r="A32" s="12" t="s">
        <v>228</v>
      </c>
      <c r="B32" s="12" t="s">
        <v>9</v>
      </c>
      <c r="C32" s="12" t="s">
        <v>229</v>
      </c>
      <c r="D32" s="12" t="s">
        <v>27</v>
      </c>
      <c r="E32" s="12" t="s">
        <v>70</v>
      </c>
      <c r="F32" s="12" t="s">
        <v>230</v>
      </c>
      <c r="G32" s="12" t="s">
        <v>231</v>
      </c>
      <c r="H32" s="12" t="s">
        <v>232</v>
      </c>
      <c r="I32" s="12" t="s">
        <v>233</v>
      </c>
      <c r="J32" s="12" t="s">
        <v>234</v>
      </c>
      <c r="K32" s="12"/>
      <c r="L32" s="12" t="s">
        <v>56</v>
      </c>
      <c r="M32" s="12"/>
      <c r="N32" s="12"/>
      <c r="O32" s="12"/>
    </row>
    <row r="33" customFormat="false" ht="15" hidden="false" customHeight="false" outlineLevel="0" collapsed="false">
      <c r="A33" s="12" t="s">
        <v>235</v>
      </c>
      <c r="B33" s="12" t="s">
        <v>9</v>
      </c>
      <c r="C33" s="12" t="s">
        <v>229</v>
      </c>
      <c r="D33" s="12" t="s">
        <v>30</v>
      </c>
      <c r="E33" s="12" t="s">
        <v>70</v>
      </c>
      <c r="F33" s="12" t="s">
        <v>236</v>
      </c>
      <c r="G33" s="12" t="s">
        <v>182</v>
      </c>
      <c r="H33" s="12" t="s">
        <v>237</v>
      </c>
      <c r="I33" s="12" t="s">
        <v>184</v>
      </c>
      <c r="J33" s="12" t="s">
        <v>238</v>
      </c>
      <c r="K33" s="12"/>
      <c r="L33" s="12" t="s">
        <v>56</v>
      </c>
      <c r="M33" s="12"/>
      <c r="N33" s="12"/>
      <c r="O33" s="12"/>
    </row>
    <row r="34" customFormat="false" ht="22.35" hidden="false" customHeight="false" outlineLevel="0" collapsed="false">
      <c r="A34" s="12" t="s">
        <v>239</v>
      </c>
      <c r="B34" s="12" t="s">
        <v>10</v>
      </c>
      <c r="C34" s="12" t="s">
        <v>240</v>
      </c>
      <c r="D34" s="12" t="s">
        <v>27</v>
      </c>
      <c r="E34" s="12" t="s">
        <v>50</v>
      </c>
      <c r="F34" s="12" t="s">
        <v>241</v>
      </c>
      <c r="G34" s="12" t="s">
        <v>151</v>
      </c>
      <c r="H34" s="12" t="s">
        <v>242</v>
      </c>
      <c r="I34" s="12" t="s">
        <v>243</v>
      </c>
      <c r="J34" s="12" t="s">
        <v>244</v>
      </c>
      <c r="K34" s="12"/>
      <c r="L34" s="12" t="s">
        <v>56</v>
      </c>
      <c r="M34" s="12"/>
      <c r="N34" s="12"/>
      <c r="O34" s="12"/>
    </row>
    <row r="35" customFormat="false" ht="15" hidden="false" customHeight="false" outlineLevel="0" collapsed="false">
      <c r="A35" s="12" t="s">
        <v>245</v>
      </c>
      <c r="B35" s="12" t="s">
        <v>10</v>
      </c>
      <c r="C35" s="12" t="s">
        <v>240</v>
      </c>
      <c r="D35" s="12" t="s">
        <v>28</v>
      </c>
      <c r="E35" s="12" t="s">
        <v>50</v>
      </c>
      <c r="F35" s="12" t="s">
        <v>246</v>
      </c>
      <c r="G35" s="12" t="s">
        <v>151</v>
      </c>
      <c r="H35" s="12" t="s">
        <v>242</v>
      </c>
      <c r="I35" s="12" t="s">
        <v>247</v>
      </c>
      <c r="J35" s="12" t="s">
        <v>248</v>
      </c>
      <c r="K35" s="12"/>
      <c r="L35" s="12" t="s">
        <v>56</v>
      </c>
      <c r="M35" s="12"/>
      <c r="N35" s="12"/>
      <c r="O35" s="12"/>
    </row>
    <row r="36" customFormat="false" ht="15" hidden="false" customHeight="false" outlineLevel="0" collapsed="false">
      <c r="A36" s="12" t="s">
        <v>249</v>
      </c>
      <c r="B36" s="12" t="s">
        <v>10</v>
      </c>
      <c r="C36" s="12" t="s">
        <v>240</v>
      </c>
      <c r="D36" s="12" t="s">
        <v>28</v>
      </c>
      <c r="E36" s="12" t="s">
        <v>70</v>
      </c>
      <c r="F36" s="12" t="s">
        <v>250</v>
      </c>
      <c r="G36" s="12" t="s">
        <v>251</v>
      </c>
      <c r="H36" s="12" t="s">
        <v>252</v>
      </c>
      <c r="I36" s="12" t="s">
        <v>253</v>
      </c>
      <c r="J36" s="12" t="s">
        <v>254</v>
      </c>
      <c r="K36" s="12"/>
      <c r="L36" s="12" t="s">
        <v>56</v>
      </c>
      <c r="M36" s="12"/>
      <c r="N36" s="12"/>
      <c r="O36" s="12"/>
    </row>
    <row r="37" customFormat="false" ht="15" hidden="false" customHeight="false" outlineLevel="0" collapsed="false">
      <c r="A37" s="12" t="s">
        <v>255</v>
      </c>
      <c r="B37" s="12" t="s">
        <v>10</v>
      </c>
      <c r="C37" s="12" t="s">
        <v>256</v>
      </c>
      <c r="D37" s="12" t="s">
        <v>28</v>
      </c>
      <c r="E37" s="12" t="s">
        <v>105</v>
      </c>
      <c r="F37" s="12" t="s">
        <v>257</v>
      </c>
      <c r="G37" s="12" t="s">
        <v>258</v>
      </c>
      <c r="H37" s="12" t="s">
        <v>259</v>
      </c>
      <c r="I37" s="12" t="s">
        <v>260</v>
      </c>
      <c r="J37" s="12" t="s">
        <v>261</v>
      </c>
      <c r="K37" s="12"/>
      <c r="L37" s="12" t="s">
        <v>56</v>
      </c>
      <c r="M37" s="12"/>
      <c r="N37" s="12"/>
      <c r="O37" s="12"/>
    </row>
    <row r="38" customFormat="false" ht="22.35" hidden="false" customHeight="false" outlineLevel="0" collapsed="false">
      <c r="A38" s="12" t="s">
        <v>262</v>
      </c>
      <c r="B38" s="12" t="s">
        <v>10</v>
      </c>
      <c r="C38" s="12" t="s">
        <v>263</v>
      </c>
      <c r="D38" s="12" t="s">
        <v>27</v>
      </c>
      <c r="E38" s="12" t="s">
        <v>50</v>
      </c>
      <c r="F38" s="12" t="s">
        <v>264</v>
      </c>
      <c r="G38" s="12" t="s">
        <v>265</v>
      </c>
      <c r="H38" s="12" t="s">
        <v>266</v>
      </c>
      <c r="I38" s="12" t="s">
        <v>267</v>
      </c>
      <c r="J38" s="12" t="s">
        <v>268</v>
      </c>
      <c r="K38" s="12"/>
      <c r="L38" s="12" t="s">
        <v>56</v>
      </c>
      <c r="M38" s="12"/>
      <c r="N38" s="12"/>
      <c r="O38" s="12"/>
    </row>
    <row r="39" customFormat="false" ht="15" hidden="false" customHeight="false" outlineLevel="0" collapsed="false">
      <c r="A39" s="12" t="s">
        <v>269</v>
      </c>
      <c r="B39" s="12" t="s">
        <v>10</v>
      </c>
      <c r="C39" s="12" t="s">
        <v>263</v>
      </c>
      <c r="D39" s="12" t="s">
        <v>28</v>
      </c>
      <c r="E39" s="12" t="s">
        <v>70</v>
      </c>
      <c r="F39" s="12" t="s">
        <v>270</v>
      </c>
      <c r="G39" s="12" t="s">
        <v>271</v>
      </c>
      <c r="H39" s="12" t="s">
        <v>272</v>
      </c>
      <c r="I39" s="12" t="s">
        <v>172</v>
      </c>
      <c r="J39" s="12" t="s">
        <v>273</v>
      </c>
      <c r="K39" s="12"/>
      <c r="L39" s="12" t="s">
        <v>56</v>
      </c>
      <c r="M39" s="12"/>
      <c r="N39" s="12"/>
      <c r="O39" s="12"/>
    </row>
    <row r="40" customFormat="false" ht="15" hidden="false" customHeight="false" outlineLevel="0" collapsed="false">
      <c r="A40" s="12" t="s">
        <v>274</v>
      </c>
      <c r="B40" s="12" t="s">
        <v>10</v>
      </c>
      <c r="C40" s="12" t="s">
        <v>263</v>
      </c>
      <c r="D40" s="12" t="s">
        <v>28</v>
      </c>
      <c r="E40" s="12" t="s">
        <v>70</v>
      </c>
      <c r="F40" s="12" t="s">
        <v>275</v>
      </c>
      <c r="G40" s="12" t="s">
        <v>276</v>
      </c>
      <c r="H40" s="12" t="s">
        <v>277</v>
      </c>
      <c r="I40" s="12" t="s">
        <v>172</v>
      </c>
      <c r="J40" s="12" t="s">
        <v>278</v>
      </c>
      <c r="K40" s="12"/>
      <c r="L40" s="12" t="s">
        <v>56</v>
      </c>
      <c r="M40" s="12"/>
      <c r="N40" s="12"/>
      <c r="O40" s="12"/>
    </row>
    <row r="41" customFormat="false" ht="22.35" hidden="false" customHeight="false" outlineLevel="0" collapsed="false">
      <c r="A41" s="12" t="s">
        <v>279</v>
      </c>
      <c r="B41" s="12" t="s">
        <v>10</v>
      </c>
      <c r="C41" s="12" t="s">
        <v>280</v>
      </c>
      <c r="D41" s="12" t="s">
        <v>27</v>
      </c>
      <c r="E41" s="12" t="s">
        <v>70</v>
      </c>
      <c r="F41" s="12" t="s">
        <v>281</v>
      </c>
      <c r="G41" s="12" t="s">
        <v>151</v>
      </c>
      <c r="H41" s="12" t="s">
        <v>282</v>
      </c>
      <c r="I41" s="12" t="s">
        <v>283</v>
      </c>
      <c r="J41" s="12" t="s">
        <v>284</v>
      </c>
      <c r="K41" s="12"/>
      <c r="L41" s="12" t="s">
        <v>56</v>
      </c>
      <c r="M41" s="12"/>
      <c r="N41" s="12"/>
      <c r="O41" s="12"/>
    </row>
    <row r="42" customFormat="false" ht="15" hidden="false" customHeight="false" outlineLevel="0" collapsed="false">
      <c r="A42" s="12" t="s">
        <v>285</v>
      </c>
      <c r="B42" s="12" t="s">
        <v>10</v>
      </c>
      <c r="C42" s="12" t="s">
        <v>280</v>
      </c>
      <c r="D42" s="12" t="s">
        <v>28</v>
      </c>
      <c r="E42" s="12" t="s">
        <v>70</v>
      </c>
      <c r="F42" s="12" t="s">
        <v>286</v>
      </c>
      <c r="G42" s="12" t="s">
        <v>151</v>
      </c>
      <c r="H42" s="12" t="s">
        <v>287</v>
      </c>
      <c r="I42" s="12" t="s">
        <v>288</v>
      </c>
      <c r="J42" s="12" t="s">
        <v>289</v>
      </c>
      <c r="K42" s="12"/>
      <c r="L42" s="12" t="s">
        <v>56</v>
      </c>
      <c r="M42" s="12"/>
      <c r="N42" s="12"/>
      <c r="O42" s="12"/>
    </row>
    <row r="43" customFormat="false" ht="32.8" hidden="false" customHeight="false" outlineLevel="0" collapsed="false">
      <c r="A43" s="12" t="s">
        <v>290</v>
      </c>
      <c r="B43" s="12" t="s">
        <v>11</v>
      </c>
      <c r="C43" s="12" t="s">
        <v>291</v>
      </c>
      <c r="D43" s="12" t="s">
        <v>27</v>
      </c>
      <c r="E43" s="12" t="s">
        <v>50</v>
      </c>
      <c r="F43" s="12" t="s">
        <v>292</v>
      </c>
      <c r="G43" s="12" t="s">
        <v>293</v>
      </c>
      <c r="H43" s="12" t="s">
        <v>294</v>
      </c>
      <c r="I43" s="12" t="s">
        <v>295</v>
      </c>
      <c r="J43" s="12" t="s">
        <v>296</v>
      </c>
      <c r="K43" s="12"/>
      <c r="L43" s="12" t="s">
        <v>56</v>
      </c>
      <c r="M43" s="12"/>
      <c r="N43" s="12"/>
      <c r="O43" s="12"/>
    </row>
    <row r="44" customFormat="false" ht="15" hidden="false" customHeight="false" outlineLevel="0" collapsed="false">
      <c r="A44" s="12" t="s">
        <v>297</v>
      </c>
      <c r="B44" s="12" t="s">
        <v>11</v>
      </c>
      <c r="C44" s="12" t="s">
        <v>291</v>
      </c>
      <c r="D44" s="12" t="s">
        <v>27</v>
      </c>
      <c r="E44" s="12" t="s">
        <v>70</v>
      </c>
      <c r="F44" s="12" t="s">
        <v>298</v>
      </c>
      <c r="G44" s="12" t="s">
        <v>293</v>
      </c>
      <c r="H44" s="12" t="s">
        <v>299</v>
      </c>
      <c r="I44" s="12" t="s">
        <v>295</v>
      </c>
      <c r="J44" s="12" t="s">
        <v>300</v>
      </c>
      <c r="K44" s="12"/>
      <c r="L44" s="12" t="s">
        <v>56</v>
      </c>
      <c r="M44" s="12"/>
      <c r="N44" s="12"/>
      <c r="O44" s="12"/>
    </row>
    <row r="45" customFormat="false" ht="15" hidden="false" customHeight="false" outlineLevel="0" collapsed="false">
      <c r="A45" s="12" t="s">
        <v>301</v>
      </c>
      <c r="B45" s="12" t="s">
        <v>11</v>
      </c>
      <c r="C45" s="12" t="s">
        <v>291</v>
      </c>
      <c r="D45" s="12" t="s">
        <v>28</v>
      </c>
      <c r="E45" s="12" t="s">
        <v>70</v>
      </c>
      <c r="F45" s="12" t="s">
        <v>302</v>
      </c>
      <c r="G45" s="12" t="s">
        <v>303</v>
      </c>
      <c r="H45" s="12" t="s">
        <v>304</v>
      </c>
      <c r="I45" s="12" t="s">
        <v>305</v>
      </c>
      <c r="J45" s="12" t="s">
        <v>306</v>
      </c>
      <c r="K45" s="12"/>
      <c r="L45" s="12" t="s">
        <v>56</v>
      </c>
      <c r="M45" s="12"/>
      <c r="N45" s="12"/>
      <c r="O45" s="12"/>
    </row>
    <row r="46" customFormat="false" ht="15" hidden="false" customHeight="false" outlineLevel="0" collapsed="false">
      <c r="A46" s="12" t="s">
        <v>307</v>
      </c>
      <c r="B46" s="12" t="s">
        <v>11</v>
      </c>
      <c r="C46" s="12" t="s">
        <v>308</v>
      </c>
      <c r="D46" s="12" t="s">
        <v>28</v>
      </c>
      <c r="E46" s="12" t="s">
        <v>105</v>
      </c>
      <c r="F46" s="12" t="s">
        <v>309</v>
      </c>
      <c r="G46" s="12" t="s">
        <v>310</v>
      </c>
      <c r="H46" s="12" t="s">
        <v>311</v>
      </c>
      <c r="I46" s="12" t="s">
        <v>312</v>
      </c>
      <c r="J46" s="12" t="s">
        <v>313</v>
      </c>
      <c r="K46" s="12"/>
      <c r="L46" s="12" t="s">
        <v>56</v>
      </c>
      <c r="M46" s="12"/>
      <c r="N46" s="12"/>
      <c r="O46" s="12"/>
    </row>
    <row r="47" customFormat="false" ht="15" hidden="false" customHeight="false" outlineLevel="0" collapsed="false">
      <c r="A47" s="12" t="s">
        <v>314</v>
      </c>
      <c r="B47" s="12" t="s">
        <v>11</v>
      </c>
      <c r="C47" s="12" t="s">
        <v>315</v>
      </c>
      <c r="D47" s="12" t="s">
        <v>30</v>
      </c>
      <c r="E47" s="12" t="s">
        <v>50</v>
      </c>
      <c r="F47" s="12" t="s">
        <v>316</v>
      </c>
      <c r="G47" s="12" t="s">
        <v>317</v>
      </c>
      <c r="H47" s="12" t="s">
        <v>318</v>
      </c>
      <c r="I47" s="12" t="s">
        <v>319</v>
      </c>
      <c r="J47" s="12" t="s">
        <v>320</v>
      </c>
      <c r="K47" s="12"/>
      <c r="L47" s="12" t="s">
        <v>56</v>
      </c>
      <c r="M47" s="12"/>
      <c r="N47" s="12"/>
      <c r="O47" s="12"/>
    </row>
    <row r="48" customFormat="false" ht="15" hidden="false" customHeight="false" outlineLevel="0" collapsed="false">
      <c r="A48" s="12" t="s">
        <v>321</v>
      </c>
      <c r="B48" s="12" t="s">
        <v>11</v>
      </c>
      <c r="C48" s="12" t="s">
        <v>315</v>
      </c>
      <c r="D48" s="12" t="s">
        <v>30</v>
      </c>
      <c r="E48" s="12" t="s">
        <v>50</v>
      </c>
      <c r="F48" s="12" t="s">
        <v>322</v>
      </c>
      <c r="G48" s="12" t="s">
        <v>59</v>
      </c>
      <c r="H48" s="12" t="s">
        <v>323</v>
      </c>
      <c r="I48" s="12" t="s">
        <v>172</v>
      </c>
      <c r="J48" s="12" t="s">
        <v>324</v>
      </c>
      <c r="K48" s="12"/>
      <c r="L48" s="12" t="s">
        <v>56</v>
      </c>
      <c r="M48" s="12"/>
      <c r="N48" s="12"/>
      <c r="O48" s="12"/>
    </row>
    <row r="49" customFormat="false" ht="15" hidden="false" customHeight="false" outlineLevel="0" collapsed="false">
      <c r="A49" s="12" t="s">
        <v>325</v>
      </c>
      <c r="B49" s="12" t="s">
        <v>12</v>
      </c>
      <c r="C49" s="12" t="s">
        <v>326</v>
      </c>
      <c r="D49" s="12" t="s">
        <v>27</v>
      </c>
      <c r="E49" s="12" t="s">
        <v>70</v>
      </c>
      <c r="F49" s="12" t="s">
        <v>327</v>
      </c>
      <c r="G49" s="12" t="s">
        <v>328</v>
      </c>
      <c r="H49" s="12" t="s">
        <v>329</v>
      </c>
      <c r="I49" s="12" t="s">
        <v>330</v>
      </c>
      <c r="J49" s="12" t="s">
        <v>331</v>
      </c>
      <c r="K49" s="12"/>
      <c r="L49" s="12" t="s">
        <v>56</v>
      </c>
      <c r="M49" s="12"/>
      <c r="N49" s="12"/>
      <c r="O49" s="12"/>
    </row>
    <row r="50" customFormat="false" ht="15" hidden="false" customHeight="false" outlineLevel="0" collapsed="false">
      <c r="A50" s="12" t="s">
        <v>332</v>
      </c>
      <c r="B50" s="12" t="s">
        <v>12</v>
      </c>
      <c r="C50" s="12" t="s">
        <v>326</v>
      </c>
      <c r="D50" s="12" t="s">
        <v>28</v>
      </c>
      <c r="E50" s="12" t="s">
        <v>70</v>
      </c>
      <c r="F50" s="12" t="s">
        <v>333</v>
      </c>
      <c r="G50" s="12" t="s">
        <v>334</v>
      </c>
      <c r="H50" s="12" t="s">
        <v>335</v>
      </c>
      <c r="I50" s="12" t="s">
        <v>336</v>
      </c>
      <c r="J50" s="12" t="s">
        <v>337</v>
      </c>
      <c r="K50" s="12"/>
      <c r="L50" s="12" t="s">
        <v>56</v>
      </c>
      <c r="M50" s="12"/>
      <c r="N50" s="12"/>
      <c r="O50" s="12"/>
    </row>
    <row r="51" customFormat="false" ht="22.35" hidden="false" customHeight="false" outlineLevel="0" collapsed="false">
      <c r="A51" s="12" t="s">
        <v>338</v>
      </c>
      <c r="B51" s="12" t="s">
        <v>12</v>
      </c>
      <c r="C51" s="12" t="s">
        <v>212</v>
      </c>
      <c r="D51" s="12" t="s">
        <v>28</v>
      </c>
      <c r="E51" s="12" t="s">
        <v>70</v>
      </c>
      <c r="F51" s="12" t="s">
        <v>339</v>
      </c>
      <c r="G51" s="12" t="s">
        <v>340</v>
      </c>
      <c r="H51" s="12" t="s">
        <v>341</v>
      </c>
      <c r="I51" s="12" t="s">
        <v>342</v>
      </c>
      <c r="J51" s="12" t="s">
        <v>343</v>
      </c>
      <c r="K51" s="12"/>
      <c r="L51" s="12" t="s">
        <v>56</v>
      </c>
      <c r="M51" s="12"/>
      <c r="N51" s="12"/>
      <c r="O51" s="12"/>
    </row>
    <row r="52" customFormat="false" ht="15" hidden="false" customHeight="false" outlineLevel="0" collapsed="false">
      <c r="A52" s="12" t="s">
        <v>344</v>
      </c>
      <c r="B52" s="12" t="s">
        <v>12</v>
      </c>
      <c r="C52" s="12" t="s">
        <v>345</v>
      </c>
      <c r="D52" s="12" t="s">
        <v>29</v>
      </c>
      <c r="E52" s="12" t="s">
        <v>105</v>
      </c>
      <c r="F52" s="12" t="s">
        <v>346</v>
      </c>
      <c r="G52" s="12" t="s">
        <v>340</v>
      </c>
      <c r="H52" s="12" t="s">
        <v>347</v>
      </c>
      <c r="I52" s="12" t="s">
        <v>348</v>
      </c>
      <c r="J52" s="12" t="s">
        <v>349</v>
      </c>
      <c r="K52" s="12"/>
      <c r="L52" s="12" t="s">
        <v>56</v>
      </c>
      <c r="M52" s="12"/>
      <c r="N52" s="12"/>
      <c r="O52" s="12"/>
    </row>
    <row r="53" customFormat="false" ht="15" hidden="false" customHeight="false" outlineLevel="0" collapsed="false">
      <c r="A53" s="12" t="s">
        <v>350</v>
      </c>
      <c r="B53" s="12" t="s">
        <v>12</v>
      </c>
      <c r="C53" s="12" t="s">
        <v>351</v>
      </c>
      <c r="D53" s="12" t="s">
        <v>28</v>
      </c>
      <c r="E53" s="12" t="s">
        <v>105</v>
      </c>
      <c r="F53" s="12" t="s">
        <v>352</v>
      </c>
      <c r="G53" s="12" t="s">
        <v>59</v>
      </c>
      <c r="H53" s="12" t="s">
        <v>353</v>
      </c>
      <c r="I53" s="12" t="s">
        <v>172</v>
      </c>
      <c r="J53" s="12" t="s">
        <v>354</v>
      </c>
      <c r="K53" s="12"/>
      <c r="L53" s="12" t="s">
        <v>56</v>
      </c>
      <c r="M53" s="12"/>
      <c r="N53" s="12"/>
      <c r="O53" s="12"/>
    </row>
    <row r="54" customFormat="false" ht="32.8" hidden="false" customHeight="false" outlineLevel="0" collapsed="false">
      <c r="A54" s="12" t="s">
        <v>355</v>
      </c>
      <c r="B54" s="12" t="s">
        <v>13</v>
      </c>
      <c r="C54" s="12" t="s">
        <v>356</v>
      </c>
      <c r="D54" s="12" t="s">
        <v>27</v>
      </c>
      <c r="E54" s="12" t="s">
        <v>50</v>
      </c>
      <c r="F54" s="12" t="s">
        <v>357</v>
      </c>
      <c r="G54" s="12" t="s">
        <v>358</v>
      </c>
      <c r="H54" s="12" t="s">
        <v>359</v>
      </c>
      <c r="I54" s="12" t="s">
        <v>360</v>
      </c>
      <c r="J54" s="12" t="s">
        <v>361</v>
      </c>
      <c r="K54" s="12"/>
      <c r="L54" s="12" t="s">
        <v>56</v>
      </c>
      <c r="M54" s="12"/>
      <c r="N54" s="12"/>
      <c r="O54" s="12"/>
    </row>
    <row r="55" customFormat="false" ht="15" hidden="false" customHeight="false" outlineLevel="0" collapsed="false">
      <c r="A55" s="12" t="s">
        <v>362</v>
      </c>
      <c r="B55" s="12" t="s">
        <v>13</v>
      </c>
      <c r="C55" s="12" t="s">
        <v>363</v>
      </c>
      <c r="D55" s="12" t="s">
        <v>28</v>
      </c>
      <c r="E55" s="12" t="s">
        <v>50</v>
      </c>
      <c r="F55" s="12" t="s">
        <v>364</v>
      </c>
      <c r="G55" s="12" t="s">
        <v>365</v>
      </c>
      <c r="H55" s="12" t="s">
        <v>366</v>
      </c>
      <c r="I55" s="12" t="s">
        <v>367</v>
      </c>
      <c r="J55" s="12" t="s">
        <v>368</v>
      </c>
      <c r="K55" s="12"/>
      <c r="L55" s="12" t="s">
        <v>56</v>
      </c>
      <c r="M55" s="12"/>
      <c r="N55" s="12"/>
      <c r="O55" s="12"/>
    </row>
    <row r="56" customFormat="false" ht="15" hidden="false" customHeight="false" outlineLevel="0" collapsed="false">
      <c r="A56" s="12" t="s">
        <v>369</v>
      </c>
      <c r="B56" s="12" t="s">
        <v>13</v>
      </c>
      <c r="C56" s="12" t="s">
        <v>363</v>
      </c>
      <c r="D56" s="12" t="s">
        <v>29</v>
      </c>
      <c r="E56" s="12" t="s">
        <v>70</v>
      </c>
      <c r="F56" s="12" t="s">
        <v>370</v>
      </c>
      <c r="G56" s="12" t="s">
        <v>365</v>
      </c>
      <c r="H56" s="12" t="s">
        <v>366</v>
      </c>
      <c r="I56" s="12" t="s">
        <v>371</v>
      </c>
      <c r="J56" s="12" t="s">
        <v>372</v>
      </c>
      <c r="K56" s="12"/>
      <c r="L56" s="12" t="s">
        <v>56</v>
      </c>
      <c r="M56" s="12"/>
      <c r="N56" s="12"/>
      <c r="O56" s="12"/>
    </row>
    <row r="57" customFormat="false" ht="15" hidden="false" customHeight="false" outlineLevel="0" collapsed="false">
      <c r="A57" s="12" t="s">
        <v>373</v>
      </c>
      <c r="B57" s="12" t="s">
        <v>13</v>
      </c>
      <c r="C57" s="12" t="s">
        <v>363</v>
      </c>
      <c r="D57" s="12" t="s">
        <v>28</v>
      </c>
      <c r="E57" s="12" t="s">
        <v>50</v>
      </c>
      <c r="F57" s="12" t="s">
        <v>374</v>
      </c>
      <c r="G57" s="12" t="s">
        <v>365</v>
      </c>
      <c r="H57" s="12" t="s">
        <v>366</v>
      </c>
      <c r="I57" s="12" t="s">
        <v>375</v>
      </c>
      <c r="J57" s="12" t="s">
        <v>376</v>
      </c>
      <c r="K57" s="12"/>
      <c r="L57" s="12" t="s">
        <v>56</v>
      </c>
      <c r="M57" s="12"/>
      <c r="N57" s="12"/>
      <c r="O57" s="12"/>
    </row>
    <row r="58" customFormat="false" ht="15" hidden="false" customHeight="false" outlineLevel="0" collapsed="false">
      <c r="A58" s="12" t="s">
        <v>377</v>
      </c>
      <c r="B58" s="12" t="s">
        <v>13</v>
      </c>
      <c r="C58" s="12" t="s">
        <v>363</v>
      </c>
      <c r="D58" s="12" t="s">
        <v>28</v>
      </c>
      <c r="E58" s="12" t="s">
        <v>70</v>
      </c>
      <c r="F58" s="12" t="s">
        <v>378</v>
      </c>
      <c r="G58" s="12" t="s">
        <v>365</v>
      </c>
      <c r="H58" s="12" t="s">
        <v>379</v>
      </c>
      <c r="I58" s="12" t="s">
        <v>172</v>
      </c>
      <c r="J58" s="12" t="s">
        <v>380</v>
      </c>
      <c r="K58" s="12"/>
      <c r="L58" s="12" t="s">
        <v>56</v>
      </c>
      <c r="M58" s="12"/>
      <c r="N58" s="12"/>
      <c r="O58" s="12"/>
    </row>
    <row r="59" customFormat="false" ht="15" hidden="false" customHeight="false" outlineLevel="0" collapsed="false">
      <c r="A59" s="12" t="s">
        <v>381</v>
      </c>
      <c r="B59" s="12" t="s">
        <v>13</v>
      </c>
      <c r="C59" s="12" t="s">
        <v>363</v>
      </c>
      <c r="D59" s="12" t="s">
        <v>28</v>
      </c>
      <c r="E59" s="12" t="s">
        <v>70</v>
      </c>
      <c r="F59" s="12" t="s">
        <v>382</v>
      </c>
      <c r="G59" s="12" t="s">
        <v>383</v>
      </c>
      <c r="H59" s="12" t="s">
        <v>384</v>
      </c>
      <c r="I59" s="12" t="s">
        <v>385</v>
      </c>
      <c r="J59" s="12" t="s">
        <v>386</v>
      </c>
      <c r="K59" s="12"/>
      <c r="L59" s="12" t="s">
        <v>56</v>
      </c>
      <c r="M59" s="12"/>
      <c r="N59" s="12"/>
      <c r="O59" s="12"/>
    </row>
    <row r="60" customFormat="false" ht="22.35" hidden="false" customHeight="false" outlineLevel="0" collapsed="false">
      <c r="A60" s="12" t="s">
        <v>387</v>
      </c>
      <c r="B60" s="12" t="s">
        <v>13</v>
      </c>
      <c r="C60" s="12" t="s">
        <v>363</v>
      </c>
      <c r="D60" s="12" t="s">
        <v>29</v>
      </c>
      <c r="E60" s="12" t="s">
        <v>50</v>
      </c>
      <c r="F60" s="12" t="s">
        <v>388</v>
      </c>
      <c r="G60" s="12" t="s">
        <v>365</v>
      </c>
      <c r="H60" s="12" t="s">
        <v>389</v>
      </c>
      <c r="I60" s="12" t="s">
        <v>390</v>
      </c>
      <c r="J60" s="12" t="s">
        <v>391</v>
      </c>
      <c r="K60" s="12"/>
      <c r="L60" s="12" t="s">
        <v>56</v>
      </c>
      <c r="M60" s="12"/>
      <c r="N60" s="12"/>
      <c r="O60" s="12"/>
    </row>
    <row r="61" customFormat="false" ht="15" hidden="false" customHeight="false" outlineLevel="0" collapsed="false">
      <c r="A61" s="12" t="s">
        <v>392</v>
      </c>
      <c r="B61" s="12" t="s">
        <v>13</v>
      </c>
      <c r="C61" s="12" t="s">
        <v>363</v>
      </c>
      <c r="D61" s="12" t="s">
        <v>28</v>
      </c>
      <c r="E61" s="12" t="s">
        <v>50</v>
      </c>
      <c r="F61" s="12" t="s">
        <v>393</v>
      </c>
      <c r="G61" s="12" t="s">
        <v>394</v>
      </c>
      <c r="H61" s="12" t="s">
        <v>366</v>
      </c>
      <c r="I61" s="12" t="s">
        <v>395</v>
      </c>
      <c r="J61" s="12" t="s">
        <v>396</v>
      </c>
      <c r="K61" s="12"/>
      <c r="L61" s="12" t="s">
        <v>56</v>
      </c>
      <c r="M61" s="12"/>
      <c r="N61" s="12"/>
      <c r="O61" s="12"/>
    </row>
    <row r="62" customFormat="false" ht="15" hidden="false" customHeight="false" outlineLevel="0" collapsed="false">
      <c r="A62" s="12" t="s">
        <v>397</v>
      </c>
      <c r="B62" s="12" t="s">
        <v>13</v>
      </c>
      <c r="C62" s="12" t="s">
        <v>363</v>
      </c>
      <c r="D62" s="12" t="s">
        <v>28</v>
      </c>
      <c r="E62" s="12" t="s">
        <v>70</v>
      </c>
      <c r="F62" s="12" t="s">
        <v>398</v>
      </c>
      <c r="G62" s="12" t="s">
        <v>399</v>
      </c>
      <c r="H62" s="12" t="s">
        <v>366</v>
      </c>
      <c r="I62" s="12" t="s">
        <v>400</v>
      </c>
      <c r="J62" s="12" t="s">
        <v>401</v>
      </c>
      <c r="K62" s="12"/>
      <c r="L62" s="12" t="s">
        <v>56</v>
      </c>
      <c r="M62" s="12"/>
      <c r="N62" s="12"/>
      <c r="O62" s="12"/>
    </row>
    <row r="63" customFormat="false" ht="22.35" hidden="false" customHeight="false" outlineLevel="0" collapsed="false">
      <c r="A63" s="12" t="s">
        <v>402</v>
      </c>
      <c r="B63" s="12" t="s">
        <v>13</v>
      </c>
      <c r="C63" s="12" t="s">
        <v>315</v>
      </c>
      <c r="D63" s="12" t="s">
        <v>30</v>
      </c>
      <c r="E63" s="12" t="s">
        <v>50</v>
      </c>
      <c r="F63" s="12" t="s">
        <v>403</v>
      </c>
      <c r="G63" s="12" t="s">
        <v>404</v>
      </c>
      <c r="H63" s="12" t="s">
        <v>405</v>
      </c>
      <c r="I63" s="12" t="s">
        <v>172</v>
      </c>
      <c r="J63" s="12" t="s">
        <v>406</v>
      </c>
      <c r="K63" s="12"/>
      <c r="L63" s="12" t="s">
        <v>56</v>
      </c>
      <c r="M63" s="12"/>
      <c r="N63" s="12"/>
      <c r="O63" s="12"/>
    </row>
    <row r="64" customFormat="false" ht="22.35" hidden="false" customHeight="false" outlineLevel="0" collapsed="false">
      <c r="A64" s="12" t="s">
        <v>407</v>
      </c>
      <c r="B64" s="12" t="s">
        <v>13</v>
      </c>
      <c r="C64" s="12" t="s">
        <v>363</v>
      </c>
      <c r="D64" s="12" t="s">
        <v>28</v>
      </c>
      <c r="E64" s="12" t="s">
        <v>50</v>
      </c>
      <c r="F64" s="12" t="s">
        <v>408</v>
      </c>
      <c r="G64" s="12" t="s">
        <v>409</v>
      </c>
      <c r="H64" s="12" t="s">
        <v>410</v>
      </c>
      <c r="I64" s="12" t="s">
        <v>411</v>
      </c>
      <c r="J64" s="12" t="s">
        <v>412</v>
      </c>
      <c r="K64" s="12"/>
      <c r="L64" s="12" t="s">
        <v>56</v>
      </c>
      <c r="M64" s="12"/>
      <c r="N64" s="12"/>
      <c r="O64" s="12"/>
    </row>
    <row r="65" customFormat="false" ht="22.35" hidden="false" customHeight="false" outlineLevel="0" collapsed="false">
      <c r="A65" s="12" t="s">
        <v>413</v>
      </c>
      <c r="B65" s="12" t="s">
        <v>13</v>
      </c>
      <c r="C65" s="12" t="s">
        <v>363</v>
      </c>
      <c r="D65" s="12" t="s">
        <v>28</v>
      </c>
      <c r="E65" s="12" t="s">
        <v>50</v>
      </c>
      <c r="F65" s="12" t="s">
        <v>414</v>
      </c>
      <c r="G65" s="12" t="s">
        <v>415</v>
      </c>
      <c r="H65" s="12" t="s">
        <v>416</v>
      </c>
      <c r="I65" s="12" t="s">
        <v>172</v>
      </c>
      <c r="J65" s="12" t="s">
        <v>417</v>
      </c>
      <c r="K65" s="12"/>
      <c r="L65" s="12" t="s">
        <v>56</v>
      </c>
      <c r="M65" s="12"/>
      <c r="N65" s="12"/>
      <c r="O65" s="12"/>
    </row>
    <row r="66" customFormat="false" ht="32.8" hidden="false" customHeight="false" outlineLevel="0" collapsed="false">
      <c r="A66" s="12" t="s">
        <v>418</v>
      </c>
      <c r="B66" s="12" t="s">
        <v>13</v>
      </c>
      <c r="C66" s="12" t="s">
        <v>419</v>
      </c>
      <c r="D66" s="12" t="s">
        <v>27</v>
      </c>
      <c r="E66" s="12" t="s">
        <v>50</v>
      </c>
      <c r="F66" s="12" t="s">
        <v>420</v>
      </c>
      <c r="G66" s="12" t="s">
        <v>421</v>
      </c>
      <c r="H66" s="12" t="s">
        <v>422</v>
      </c>
      <c r="I66" s="12" t="s">
        <v>172</v>
      </c>
      <c r="J66" s="12" t="s">
        <v>423</v>
      </c>
      <c r="K66" s="12"/>
      <c r="L66" s="12" t="s">
        <v>56</v>
      </c>
      <c r="M66" s="12"/>
      <c r="N66" s="12"/>
      <c r="O66" s="12"/>
    </row>
    <row r="67" customFormat="false" ht="22.35" hidden="false" customHeight="false" outlineLevel="0" collapsed="false">
      <c r="A67" s="12" t="s">
        <v>424</v>
      </c>
      <c r="B67" s="12" t="s">
        <v>13</v>
      </c>
      <c r="C67" s="12" t="s">
        <v>419</v>
      </c>
      <c r="D67" s="12" t="s">
        <v>28</v>
      </c>
      <c r="E67" s="12" t="s">
        <v>70</v>
      </c>
      <c r="F67" s="12" t="s">
        <v>425</v>
      </c>
      <c r="G67" s="12" t="s">
        <v>426</v>
      </c>
      <c r="H67" s="12" t="s">
        <v>427</v>
      </c>
      <c r="I67" s="12" t="s">
        <v>428</v>
      </c>
      <c r="J67" s="12" t="s">
        <v>429</v>
      </c>
      <c r="K67" s="12"/>
      <c r="L67" s="12" t="s">
        <v>56</v>
      </c>
      <c r="M67" s="12"/>
      <c r="N67" s="12"/>
      <c r="O67" s="12"/>
    </row>
    <row r="68" customFormat="false" ht="15" hidden="false" customHeight="false" outlineLevel="0" collapsed="false">
      <c r="A68" s="12" t="s">
        <v>430</v>
      </c>
      <c r="B68" s="12" t="s">
        <v>13</v>
      </c>
      <c r="C68" s="12" t="s">
        <v>419</v>
      </c>
      <c r="D68" s="12" t="s">
        <v>28</v>
      </c>
      <c r="E68" s="12" t="s">
        <v>50</v>
      </c>
      <c r="F68" s="12" t="s">
        <v>431</v>
      </c>
      <c r="G68" s="12" t="s">
        <v>432</v>
      </c>
      <c r="H68" s="12" t="s">
        <v>433</v>
      </c>
      <c r="I68" s="12" t="s">
        <v>172</v>
      </c>
      <c r="J68" s="12" t="s">
        <v>434</v>
      </c>
      <c r="K68" s="12"/>
      <c r="L68" s="12" t="s">
        <v>56</v>
      </c>
      <c r="M68" s="12"/>
      <c r="N68" s="12"/>
      <c r="O68" s="12"/>
    </row>
    <row r="69" customFormat="false" ht="22.35" hidden="false" customHeight="false" outlineLevel="0" collapsed="false">
      <c r="A69" s="12" t="s">
        <v>435</v>
      </c>
      <c r="B69" s="12" t="s">
        <v>13</v>
      </c>
      <c r="C69" s="12" t="s">
        <v>419</v>
      </c>
      <c r="D69" s="12" t="s">
        <v>28</v>
      </c>
      <c r="E69" s="12" t="s">
        <v>70</v>
      </c>
      <c r="F69" s="12" t="s">
        <v>436</v>
      </c>
      <c r="G69" s="12" t="s">
        <v>437</v>
      </c>
      <c r="H69" s="12" t="s">
        <v>438</v>
      </c>
      <c r="I69" s="12" t="s">
        <v>172</v>
      </c>
      <c r="J69" s="12" t="s">
        <v>439</v>
      </c>
      <c r="K69" s="12"/>
      <c r="L69" s="12" t="s">
        <v>56</v>
      </c>
      <c r="M69" s="12"/>
      <c r="N69" s="12"/>
      <c r="O69" s="12"/>
    </row>
    <row r="70" customFormat="false" ht="22.35" hidden="false" customHeight="false" outlineLevel="0" collapsed="false">
      <c r="A70" s="12" t="s">
        <v>440</v>
      </c>
      <c r="B70" s="12" t="s">
        <v>13</v>
      </c>
      <c r="C70" s="12" t="s">
        <v>419</v>
      </c>
      <c r="D70" s="12" t="s">
        <v>27</v>
      </c>
      <c r="E70" s="12" t="s">
        <v>70</v>
      </c>
      <c r="F70" s="12" t="s">
        <v>441</v>
      </c>
      <c r="G70" s="12" t="s">
        <v>442</v>
      </c>
      <c r="H70" s="12" t="s">
        <v>443</v>
      </c>
      <c r="I70" s="12" t="s">
        <v>172</v>
      </c>
      <c r="J70" s="12" t="s">
        <v>444</v>
      </c>
      <c r="K70" s="12"/>
      <c r="L70" s="12" t="s">
        <v>56</v>
      </c>
      <c r="M70" s="12"/>
      <c r="N70" s="12"/>
      <c r="O70" s="12"/>
    </row>
    <row r="71" customFormat="false" ht="15" hidden="false" customHeight="false" outlineLevel="0" collapsed="false">
      <c r="A71" s="12" t="s">
        <v>445</v>
      </c>
      <c r="B71" s="12" t="s">
        <v>13</v>
      </c>
      <c r="C71" s="12" t="s">
        <v>446</v>
      </c>
      <c r="D71" s="12" t="s">
        <v>28</v>
      </c>
      <c r="E71" s="12" t="s">
        <v>70</v>
      </c>
      <c r="F71" s="12" t="s">
        <v>447</v>
      </c>
      <c r="G71" s="12" t="s">
        <v>448</v>
      </c>
      <c r="H71" s="12" t="s">
        <v>449</v>
      </c>
      <c r="I71" s="12" t="s">
        <v>172</v>
      </c>
      <c r="J71" s="12" t="s">
        <v>450</v>
      </c>
      <c r="K71" s="12"/>
      <c r="L71" s="12" t="s">
        <v>56</v>
      </c>
      <c r="M71" s="12"/>
      <c r="N71" s="12"/>
      <c r="O71" s="12"/>
    </row>
    <row r="72" customFormat="false" ht="32.8" hidden="false" customHeight="false" outlineLevel="0" collapsed="false">
      <c r="A72" s="12" t="s">
        <v>451</v>
      </c>
      <c r="B72" s="12" t="s">
        <v>13</v>
      </c>
      <c r="C72" s="12" t="s">
        <v>452</v>
      </c>
      <c r="D72" s="12" t="s">
        <v>27</v>
      </c>
      <c r="E72" s="12" t="s">
        <v>70</v>
      </c>
      <c r="F72" s="12" t="s">
        <v>453</v>
      </c>
      <c r="G72" s="12" t="s">
        <v>454</v>
      </c>
      <c r="H72" s="12" t="s">
        <v>455</v>
      </c>
      <c r="I72" s="12" t="s">
        <v>456</v>
      </c>
      <c r="J72" s="12" t="s">
        <v>457</v>
      </c>
      <c r="K72" s="12"/>
      <c r="L72" s="12" t="s">
        <v>56</v>
      </c>
      <c r="M72" s="12"/>
      <c r="N72" s="12"/>
      <c r="O72" s="12"/>
    </row>
    <row r="73" customFormat="false" ht="22.35" hidden="false" customHeight="false" outlineLevel="0" collapsed="false">
      <c r="A73" s="12" t="s">
        <v>458</v>
      </c>
      <c r="B73" s="12" t="s">
        <v>13</v>
      </c>
      <c r="C73" s="12" t="s">
        <v>452</v>
      </c>
      <c r="D73" s="12" t="s">
        <v>28</v>
      </c>
      <c r="E73" s="12" t="s">
        <v>105</v>
      </c>
      <c r="F73" s="12" t="s">
        <v>459</v>
      </c>
      <c r="G73" s="12" t="s">
        <v>59</v>
      </c>
      <c r="H73" s="12" t="s">
        <v>460</v>
      </c>
      <c r="I73" s="12" t="s">
        <v>461</v>
      </c>
      <c r="J73" s="12" t="s">
        <v>462</v>
      </c>
      <c r="K73" s="12"/>
      <c r="L73" s="12" t="s">
        <v>56</v>
      </c>
      <c r="M73" s="12"/>
      <c r="N73" s="12"/>
      <c r="O73" s="12"/>
    </row>
    <row r="74" customFormat="false" ht="22.35" hidden="false" customHeight="false" outlineLevel="0" collapsed="false">
      <c r="A74" s="12" t="s">
        <v>463</v>
      </c>
      <c r="B74" s="12" t="s">
        <v>13</v>
      </c>
      <c r="C74" s="12" t="s">
        <v>452</v>
      </c>
      <c r="D74" s="12" t="s">
        <v>30</v>
      </c>
      <c r="E74" s="12" t="s">
        <v>50</v>
      </c>
      <c r="F74" s="12" t="s">
        <v>464</v>
      </c>
      <c r="G74" s="12" t="s">
        <v>432</v>
      </c>
      <c r="H74" s="12" t="s">
        <v>465</v>
      </c>
      <c r="I74" s="12" t="s">
        <v>172</v>
      </c>
      <c r="J74" s="12" t="s">
        <v>466</v>
      </c>
      <c r="K74" s="12"/>
      <c r="L74" s="12" t="s">
        <v>56</v>
      </c>
      <c r="M74" s="12"/>
      <c r="N74" s="12"/>
      <c r="O74" s="12"/>
    </row>
    <row r="75" customFormat="false" ht="22.35" hidden="false" customHeight="false" outlineLevel="0" collapsed="false">
      <c r="A75" s="12" t="s">
        <v>467</v>
      </c>
      <c r="B75" s="12" t="s">
        <v>14</v>
      </c>
      <c r="C75" s="12" t="s">
        <v>468</v>
      </c>
      <c r="D75" s="12" t="s">
        <v>27</v>
      </c>
      <c r="E75" s="12" t="s">
        <v>50</v>
      </c>
      <c r="F75" s="12" t="s">
        <v>469</v>
      </c>
      <c r="G75" s="12" t="s">
        <v>470</v>
      </c>
      <c r="H75" s="12" t="s">
        <v>471</v>
      </c>
      <c r="I75" s="12" t="s">
        <v>472</v>
      </c>
      <c r="J75" s="12" t="s">
        <v>473</v>
      </c>
      <c r="K75" s="12"/>
      <c r="L75" s="12" t="s">
        <v>56</v>
      </c>
      <c r="M75" s="12"/>
      <c r="N75" s="12"/>
      <c r="O75" s="12"/>
    </row>
    <row r="76" customFormat="false" ht="22.35" hidden="false" customHeight="false" outlineLevel="0" collapsed="false">
      <c r="A76" s="12" t="s">
        <v>474</v>
      </c>
      <c r="B76" s="12" t="s">
        <v>14</v>
      </c>
      <c r="C76" s="12" t="s">
        <v>212</v>
      </c>
      <c r="D76" s="12" t="s">
        <v>28</v>
      </c>
      <c r="E76" s="12" t="s">
        <v>50</v>
      </c>
      <c r="F76" s="12" t="s">
        <v>475</v>
      </c>
      <c r="G76" s="12" t="s">
        <v>365</v>
      </c>
      <c r="H76" s="12" t="s">
        <v>476</v>
      </c>
      <c r="I76" s="12" t="s">
        <v>477</v>
      </c>
      <c r="J76" s="12" t="s">
        <v>478</v>
      </c>
      <c r="K76" s="12"/>
      <c r="L76" s="12" t="s">
        <v>56</v>
      </c>
      <c r="M76" s="12"/>
      <c r="N76" s="12"/>
      <c r="O76" s="12"/>
    </row>
    <row r="77" customFormat="false" ht="22.35" hidden="false" customHeight="false" outlineLevel="0" collapsed="false">
      <c r="A77" s="12" t="s">
        <v>479</v>
      </c>
      <c r="B77" s="12" t="s">
        <v>14</v>
      </c>
      <c r="C77" s="12" t="s">
        <v>480</v>
      </c>
      <c r="D77" s="12" t="s">
        <v>29</v>
      </c>
      <c r="E77" s="12" t="s">
        <v>70</v>
      </c>
      <c r="F77" s="12" t="s">
        <v>481</v>
      </c>
      <c r="G77" s="12" t="s">
        <v>365</v>
      </c>
      <c r="H77" s="12" t="s">
        <v>482</v>
      </c>
      <c r="I77" s="12" t="s">
        <v>483</v>
      </c>
      <c r="J77" s="12" t="s">
        <v>484</v>
      </c>
      <c r="K77" s="12"/>
      <c r="L77" s="12" t="s">
        <v>56</v>
      </c>
      <c r="M77" s="12"/>
      <c r="N77" s="12"/>
      <c r="O77" s="12"/>
    </row>
    <row r="78" customFormat="false" ht="15" hidden="false" customHeight="false" outlineLevel="0" collapsed="false">
      <c r="A78" s="12" t="s">
        <v>485</v>
      </c>
      <c r="B78" s="12" t="s">
        <v>14</v>
      </c>
      <c r="C78" s="12" t="s">
        <v>363</v>
      </c>
      <c r="D78" s="12" t="s">
        <v>28</v>
      </c>
      <c r="E78" s="12" t="s">
        <v>50</v>
      </c>
      <c r="F78" s="12" t="s">
        <v>486</v>
      </c>
      <c r="G78" s="12" t="s">
        <v>426</v>
      </c>
      <c r="H78" s="12" t="s">
        <v>487</v>
      </c>
      <c r="I78" s="12" t="s">
        <v>172</v>
      </c>
      <c r="J78" s="12" t="s">
        <v>488</v>
      </c>
      <c r="K78" s="12"/>
      <c r="L78" s="12" t="s">
        <v>56</v>
      </c>
      <c r="M78" s="12"/>
      <c r="N78" s="12"/>
      <c r="O78" s="12"/>
    </row>
    <row r="79" customFormat="false" ht="22.35" hidden="false" customHeight="false" outlineLevel="0" collapsed="false">
      <c r="A79" s="12" t="s">
        <v>489</v>
      </c>
      <c r="B79" s="12" t="s">
        <v>14</v>
      </c>
      <c r="C79" s="12" t="s">
        <v>363</v>
      </c>
      <c r="D79" s="12" t="s">
        <v>28</v>
      </c>
      <c r="E79" s="12" t="s">
        <v>50</v>
      </c>
      <c r="F79" s="12" t="s">
        <v>490</v>
      </c>
      <c r="G79" s="12" t="s">
        <v>491</v>
      </c>
      <c r="H79" s="12" t="s">
        <v>492</v>
      </c>
      <c r="I79" s="12" t="s">
        <v>172</v>
      </c>
      <c r="J79" s="12" t="s">
        <v>493</v>
      </c>
      <c r="K79" s="12"/>
      <c r="L79" s="12" t="s">
        <v>56</v>
      </c>
      <c r="M79" s="12"/>
      <c r="N79" s="12"/>
      <c r="O79" s="12"/>
    </row>
    <row r="80" customFormat="false" ht="15" hidden="false" customHeight="false" outlineLevel="0" collapsed="false">
      <c r="A80" s="12" t="s">
        <v>494</v>
      </c>
      <c r="B80" s="12" t="s">
        <v>14</v>
      </c>
      <c r="C80" s="12" t="s">
        <v>495</v>
      </c>
      <c r="D80" s="12" t="s">
        <v>30</v>
      </c>
      <c r="E80" s="12" t="s">
        <v>50</v>
      </c>
      <c r="F80" s="12" t="s">
        <v>496</v>
      </c>
      <c r="G80" s="12" t="s">
        <v>497</v>
      </c>
      <c r="H80" s="12" t="s">
        <v>487</v>
      </c>
      <c r="I80" s="12" t="s">
        <v>172</v>
      </c>
      <c r="J80" s="12" t="s">
        <v>498</v>
      </c>
      <c r="K80" s="12"/>
      <c r="L80" s="12" t="s">
        <v>56</v>
      </c>
      <c r="M80" s="12"/>
      <c r="N80" s="12"/>
      <c r="O80" s="12"/>
    </row>
    <row r="81" customFormat="false" ht="43.25" hidden="false" customHeight="false" outlineLevel="0" collapsed="false">
      <c r="A81" s="12" t="s">
        <v>499</v>
      </c>
      <c r="B81" s="12" t="s">
        <v>14</v>
      </c>
      <c r="C81" s="12" t="s">
        <v>495</v>
      </c>
      <c r="D81" s="12" t="s">
        <v>27</v>
      </c>
      <c r="E81" s="12" t="s">
        <v>70</v>
      </c>
      <c r="F81" s="12" t="s">
        <v>500</v>
      </c>
      <c r="G81" s="12" t="s">
        <v>432</v>
      </c>
      <c r="H81" s="12" t="s">
        <v>501</v>
      </c>
      <c r="I81" s="12" t="s">
        <v>172</v>
      </c>
      <c r="J81" s="12" t="s">
        <v>502</v>
      </c>
      <c r="K81" s="12"/>
      <c r="L81" s="12" t="s">
        <v>56</v>
      </c>
      <c r="M81" s="12"/>
      <c r="N81" s="12"/>
      <c r="O81" s="12"/>
    </row>
    <row r="82" customFormat="false" ht="22.35" hidden="false" customHeight="false" outlineLevel="0" collapsed="false">
      <c r="A82" s="12" t="s">
        <v>503</v>
      </c>
      <c r="B82" s="12" t="s">
        <v>15</v>
      </c>
      <c r="C82" s="12" t="s">
        <v>504</v>
      </c>
      <c r="D82" s="12" t="s">
        <v>27</v>
      </c>
      <c r="E82" s="12" t="s">
        <v>70</v>
      </c>
      <c r="F82" s="12" t="s">
        <v>505</v>
      </c>
      <c r="G82" s="12" t="s">
        <v>506</v>
      </c>
      <c r="H82" s="12" t="s">
        <v>507</v>
      </c>
      <c r="I82" s="12" t="s">
        <v>508</v>
      </c>
      <c r="J82" s="12" t="s">
        <v>509</v>
      </c>
      <c r="K82" s="12"/>
      <c r="L82" s="12" t="s">
        <v>56</v>
      </c>
      <c r="M82" s="12"/>
      <c r="N82" s="12"/>
      <c r="O82" s="12"/>
    </row>
    <row r="83" customFormat="false" ht="22.35" hidden="false" customHeight="false" outlineLevel="0" collapsed="false">
      <c r="A83" s="12" t="s">
        <v>510</v>
      </c>
      <c r="B83" s="12" t="s">
        <v>15</v>
      </c>
      <c r="C83" s="12" t="s">
        <v>504</v>
      </c>
      <c r="D83" s="12" t="s">
        <v>28</v>
      </c>
      <c r="E83" s="12" t="s">
        <v>70</v>
      </c>
      <c r="F83" s="12" t="s">
        <v>511</v>
      </c>
      <c r="G83" s="12" t="s">
        <v>512</v>
      </c>
      <c r="H83" s="12" t="s">
        <v>513</v>
      </c>
      <c r="I83" s="12" t="s">
        <v>514</v>
      </c>
      <c r="J83" s="12" t="s">
        <v>515</v>
      </c>
      <c r="K83" s="12"/>
      <c r="L83" s="12" t="s">
        <v>56</v>
      </c>
      <c r="M83" s="12"/>
      <c r="N83" s="12"/>
      <c r="O83" s="12"/>
    </row>
    <row r="84" customFormat="false" ht="15" hidden="false" customHeight="false" outlineLevel="0" collapsed="false">
      <c r="A84" s="12" t="s">
        <v>516</v>
      </c>
      <c r="B84" s="12" t="s">
        <v>15</v>
      </c>
      <c r="C84" s="12" t="s">
        <v>504</v>
      </c>
      <c r="D84" s="12" t="s">
        <v>28</v>
      </c>
      <c r="E84" s="12" t="s">
        <v>70</v>
      </c>
      <c r="F84" s="12" t="s">
        <v>517</v>
      </c>
      <c r="G84" s="12" t="s">
        <v>518</v>
      </c>
      <c r="H84" s="12" t="s">
        <v>519</v>
      </c>
      <c r="I84" s="12" t="s">
        <v>520</v>
      </c>
      <c r="J84" s="12" t="s">
        <v>521</v>
      </c>
      <c r="K84" s="12"/>
      <c r="L84" s="12" t="s">
        <v>56</v>
      </c>
      <c r="M84" s="12"/>
      <c r="N84" s="12"/>
      <c r="O84" s="12"/>
    </row>
    <row r="85" customFormat="false" ht="22.35" hidden="false" customHeight="false" outlineLevel="0" collapsed="false">
      <c r="A85" s="12" t="s">
        <v>522</v>
      </c>
      <c r="B85" s="12" t="s">
        <v>15</v>
      </c>
      <c r="C85" s="12" t="s">
        <v>504</v>
      </c>
      <c r="D85" s="12" t="s">
        <v>28</v>
      </c>
      <c r="E85" s="12" t="s">
        <v>70</v>
      </c>
      <c r="F85" s="12" t="s">
        <v>523</v>
      </c>
      <c r="G85" s="12" t="s">
        <v>524</v>
      </c>
      <c r="H85" s="12" t="s">
        <v>525</v>
      </c>
      <c r="I85" s="12" t="s">
        <v>172</v>
      </c>
      <c r="J85" s="12" t="s">
        <v>526</v>
      </c>
      <c r="K85" s="12"/>
      <c r="L85" s="12" t="s">
        <v>56</v>
      </c>
      <c r="M85" s="12"/>
      <c r="N85" s="12"/>
      <c r="O85" s="12"/>
    </row>
    <row r="86" customFormat="false" ht="22.35" hidden="false" customHeight="false" outlineLevel="0" collapsed="false">
      <c r="A86" s="12" t="s">
        <v>527</v>
      </c>
      <c r="B86" s="12" t="s">
        <v>15</v>
      </c>
      <c r="C86" s="12" t="s">
        <v>504</v>
      </c>
      <c r="D86" s="12" t="s">
        <v>29</v>
      </c>
      <c r="E86" s="12" t="s">
        <v>105</v>
      </c>
      <c r="F86" s="12" t="s">
        <v>528</v>
      </c>
      <c r="G86" s="12" t="s">
        <v>448</v>
      </c>
      <c r="H86" s="12" t="s">
        <v>529</v>
      </c>
      <c r="I86" s="12" t="s">
        <v>172</v>
      </c>
      <c r="J86" s="12" t="s">
        <v>530</v>
      </c>
      <c r="K86" s="12"/>
      <c r="L86" s="12" t="s">
        <v>56</v>
      </c>
      <c r="M86" s="12"/>
      <c r="N86" s="12"/>
      <c r="O86" s="12"/>
    </row>
    <row r="87" customFormat="false" ht="22.35" hidden="false" customHeight="false" outlineLevel="0" collapsed="false">
      <c r="A87" s="12" t="s">
        <v>531</v>
      </c>
      <c r="B87" s="12" t="s">
        <v>15</v>
      </c>
      <c r="C87" s="12" t="s">
        <v>504</v>
      </c>
      <c r="D87" s="12" t="s">
        <v>29</v>
      </c>
      <c r="E87" s="12" t="s">
        <v>105</v>
      </c>
      <c r="F87" s="12" t="s">
        <v>532</v>
      </c>
      <c r="G87" s="12" t="s">
        <v>448</v>
      </c>
      <c r="H87" s="12" t="s">
        <v>533</v>
      </c>
      <c r="I87" s="12" t="s">
        <v>172</v>
      </c>
      <c r="J87" s="12" t="s">
        <v>534</v>
      </c>
      <c r="K87" s="12"/>
      <c r="L87" s="12" t="s">
        <v>56</v>
      </c>
      <c r="M87" s="12"/>
      <c r="N87" s="12"/>
      <c r="O87" s="12"/>
    </row>
    <row r="88" customFormat="false" ht="15" hidden="false" customHeight="false" outlineLevel="0" collapsed="false">
      <c r="A88" s="12" t="s">
        <v>535</v>
      </c>
      <c r="B88" s="12" t="s">
        <v>16</v>
      </c>
      <c r="C88" s="12" t="s">
        <v>536</v>
      </c>
      <c r="D88" s="12" t="s">
        <v>27</v>
      </c>
      <c r="E88" s="12" t="s">
        <v>70</v>
      </c>
      <c r="F88" s="12" t="s">
        <v>537</v>
      </c>
      <c r="G88" s="12" t="s">
        <v>310</v>
      </c>
      <c r="H88" s="12" t="s">
        <v>538</v>
      </c>
      <c r="I88" s="12" t="s">
        <v>539</v>
      </c>
      <c r="J88" s="12" t="s">
        <v>331</v>
      </c>
      <c r="K88" s="12"/>
      <c r="L88" s="12" t="s">
        <v>56</v>
      </c>
      <c r="M88" s="12"/>
      <c r="N88" s="12"/>
      <c r="O88" s="12"/>
    </row>
    <row r="89" customFormat="false" ht="15" hidden="false" customHeight="false" outlineLevel="0" collapsed="false">
      <c r="A89" s="12" t="s">
        <v>540</v>
      </c>
      <c r="B89" s="12" t="s">
        <v>16</v>
      </c>
      <c r="C89" s="12" t="s">
        <v>536</v>
      </c>
      <c r="D89" s="12" t="s">
        <v>28</v>
      </c>
      <c r="E89" s="12" t="s">
        <v>70</v>
      </c>
      <c r="F89" s="12" t="s">
        <v>541</v>
      </c>
      <c r="G89" s="12" t="s">
        <v>542</v>
      </c>
      <c r="H89" s="12" t="s">
        <v>543</v>
      </c>
      <c r="I89" s="12" t="s">
        <v>544</v>
      </c>
      <c r="J89" s="12" t="s">
        <v>545</v>
      </c>
      <c r="K89" s="12"/>
      <c r="L89" s="12" t="s">
        <v>56</v>
      </c>
      <c r="M89" s="12"/>
      <c r="N89" s="12"/>
      <c r="O89" s="12"/>
    </row>
    <row r="90" customFormat="false" ht="15" hidden="false" customHeight="false" outlineLevel="0" collapsed="false">
      <c r="A90" s="12" t="s">
        <v>546</v>
      </c>
      <c r="B90" s="12" t="s">
        <v>16</v>
      </c>
      <c r="C90" s="12" t="s">
        <v>315</v>
      </c>
      <c r="D90" s="12" t="s">
        <v>30</v>
      </c>
      <c r="E90" s="12" t="s">
        <v>50</v>
      </c>
      <c r="F90" s="12" t="s">
        <v>547</v>
      </c>
      <c r="G90" s="12" t="s">
        <v>365</v>
      </c>
      <c r="H90" s="12" t="s">
        <v>538</v>
      </c>
      <c r="I90" s="12" t="s">
        <v>172</v>
      </c>
      <c r="J90" s="12" t="s">
        <v>320</v>
      </c>
      <c r="K90" s="12"/>
      <c r="L90" s="12" t="s">
        <v>56</v>
      </c>
      <c r="M90" s="12"/>
      <c r="N90" s="12"/>
      <c r="O90" s="12"/>
    </row>
    <row r="91" customFormat="false" ht="22.35" hidden="false" customHeight="false" outlineLevel="0" collapsed="false">
      <c r="A91" s="12" t="s">
        <v>548</v>
      </c>
      <c r="B91" s="12" t="s">
        <v>16</v>
      </c>
      <c r="C91" s="12" t="s">
        <v>549</v>
      </c>
      <c r="D91" s="12" t="s">
        <v>27</v>
      </c>
      <c r="E91" s="12" t="s">
        <v>70</v>
      </c>
      <c r="F91" s="12" t="s">
        <v>550</v>
      </c>
      <c r="G91" s="12" t="s">
        <v>551</v>
      </c>
      <c r="H91" s="12" t="s">
        <v>552</v>
      </c>
      <c r="I91" s="12" t="s">
        <v>553</v>
      </c>
      <c r="J91" s="12" t="s">
        <v>331</v>
      </c>
      <c r="K91" s="12"/>
      <c r="L91" s="12" t="s">
        <v>56</v>
      </c>
      <c r="M91" s="12"/>
      <c r="N91" s="12"/>
      <c r="O91" s="12"/>
    </row>
    <row r="92" customFormat="false" ht="32.8" hidden="false" customHeight="false" outlineLevel="0" collapsed="false">
      <c r="A92" s="12" t="s">
        <v>554</v>
      </c>
      <c r="B92" s="12" t="s">
        <v>16</v>
      </c>
      <c r="C92" s="12" t="s">
        <v>549</v>
      </c>
      <c r="D92" s="12" t="s">
        <v>29</v>
      </c>
      <c r="E92" s="12" t="s">
        <v>70</v>
      </c>
      <c r="F92" s="12" t="s">
        <v>555</v>
      </c>
      <c r="G92" s="12" t="s">
        <v>365</v>
      </c>
      <c r="H92" s="12" t="s">
        <v>556</v>
      </c>
      <c r="I92" s="12" t="s">
        <v>557</v>
      </c>
      <c r="J92" s="12" t="s">
        <v>558</v>
      </c>
      <c r="K92" s="12"/>
      <c r="L92" s="12" t="s">
        <v>56</v>
      </c>
      <c r="M92" s="12"/>
      <c r="N92" s="12"/>
      <c r="O92" s="12"/>
    </row>
    <row r="93" customFormat="false" ht="15" hidden="false" customHeight="false" outlineLevel="0" collapsed="false">
      <c r="A93" s="12" t="s">
        <v>559</v>
      </c>
      <c r="B93" s="12" t="s">
        <v>16</v>
      </c>
      <c r="C93" s="12" t="s">
        <v>549</v>
      </c>
      <c r="D93" s="12" t="s">
        <v>28</v>
      </c>
      <c r="E93" s="12" t="s">
        <v>105</v>
      </c>
      <c r="F93" s="12" t="s">
        <v>560</v>
      </c>
      <c r="G93" s="12" t="s">
        <v>561</v>
      </c>
      <c r="H93" s="12" t="s">
        <v>562</v>
      </c>
      <c r="I93" s="12" t="s">
        <v>172</v>
      </c>
      <c r="J93" s="12" t="s">
        <v>337</v>
      </c>
      <c r="K93" s="12"/>
      <c r="L93" s="12" t="s">
        <v>56</v>
      </c>
      <c r="M93" s="12"/>
      <c r="N93" s="12"/>
      <c r="O93" s="12"/>
    </row>
    <row r="94" customFormat="false" ht="15" hidden="false" customHeight="false" outlineLevel="0" collapsed="false">
      <c r="A94" s="12" t="s">
        <v>563</v>
      </c>
      <c r="B94" s="12" t="s">
        <v>16</v>
      </c>
      <c r="C94" s="12" t="s">
        <v>549</v>
      </c>
      <c r="D94" s="12" t="s">
        <v>27</v>
      </c>
      <c r="E94" s="12" t="s">
        <v>105</v>
      </c>
      <c r="F94" s="12" t="s">
        <v>564</v>
      </c>
      <c r="G94" s="12" t="s">
        <v>565</v>
      </c>
      <c r="H94" s="12" t="s">
        <v>566</v>
      </c>
      <c r="I94" s="12" t="s">
        <v>567</v>
      </c>
      <c r="J94" s="12" t="s">
        <v>568</v>
      </c>
      <c r="K94" s="12"/>
      <c r="L94" s="12" t="s">
        <v>56</v>
      </c>
      <c r="M94" s="12"/>
      <c r="N94" s="12"/>
      <c r="O94" s="12"/>
    </row>
    <row r="95" customFormat="false" ht="22.35" hidden="false" customHeight="false" outlineLevel="0" collapsed="false">
      <c r="A95" s="12" t="s">
        <v>569</v>
      </c>
      <c r="B95" s="12" t="s">
        <v>17</v>
      </c>
      <c r="C95" s="12" t="s">
        <v>570</v>
      </c>
      <c r="D95" s="12" t="s">
        <v>29</v>
      </c>
      <c r="E95" s="12" t="s">
        <v>70</v>
      </c>
      <c r="F95" s="12" t="s">
        <v>571</v>
      </c>
      <c r="G95" s="12" t="s">
        <v>432</v>
      </c>
      <c r="H95" s="12" t="s">
        <v>572</v>
      </c>
      <c r="I95" s="12" t="s">
        <v>172</v>
      </c>
      <c r="J95" s="12" t="s">
        <v>573</v>
      </c>
      <c r="K95" s="12"/>
      <c r="L95" s="12" t="s">
        <v>56</v>
      </c>
      <c r="M95" s="12"/>
      <c r="N95" s="12"/>
      <c r="O95" s="12"/>
    </row>
    <row r="96" customFormat="false" ht="15" hidden="false" customHeight="false" outlineLevel="0" collapsed="false">
      <c r="A96" s="12" t="s">
        <v>574</v>
      </c>
      <c r="B96" s="12" t="s">
        <v>17</v>
      </c>
      <c r="C96" s="12" t="s">
        <v>570</v>
      </c>
      <c r="D96" s="12" t="s">
        <v>28</v>
      </c>
      <c r="E96" s="12" t="s">
        <v>105</v>
      </c>
      <c r="F96" s="12" t="s">
        <v>575</v>
      </c>
      <c r="G96" s="12" t="s">
        <v>576</v>
      </c>
      <c r="H96" s="12" t="s">
        <v>577</v>
      </c>
      <c r="I96" s="12" t="s">
        <v>172</v>
      </c>
      <c r="J96" s="12" t="s">
        <v>578</v>
      </c>
      <c r="K96" s="12"/>
      <c r="L96" s="12" t="s">
        <v>56</v>
      </c>
      <c r="M96" s="12"/>
      <c r="N96" s="12"/>
      <c r="O96" s="12"/>
    </row>
    <row r="97" customFormat="false" ht="22.35" hidden="false" customHeight="false" outlineLevel="0" collapsed="false">
      <c r="A97" s="12" t="s">
        <v>579</v>
      </c>
      <c r="B97" s="12" t="s">
        <v>17</v>
      </c>
      <c r="C97" s="12" t="s">
        <v>580</v>
      </c>
      <c r="D97" s="12" t="s">
        <v>27</v>
      </c>
      <c r="E97" s="12" t="s">
        <v>50</v>
      </c>
      <c r="F97" s="12" t="s">
        <v>581</v>
      </c>
      <c r="G97" s="12" t="s">
        <v>582</v>
      </c>
      <c r="H97" s="12" t="s">
        <v>583</v>
      </c>
      <c r="I97" s="12" t="s">
        <v>584</v>
      </c>
      <c r="J97" s="12" t="s">
        <v>585</v>
      </c>
      <c r="K97" s="12"/>
      <c r="L97" s="12" t="s">
        <v>56</v>
      </c>
      <c r="M97" s="12"/>
      <c r="N97" s="12"/>
      <c r="O97" s="12"/>
    </row>
    <row r="98" customFormat="false" ht="15" hidden="false" customHeight="false" outlineLevel="0" collapsed="false">
      <c r="A98" s="12" t="s">
        <v>586</v>
      </c>
      <c r="B98" s="12" t="s">
        <v>17</v>
      </c>
      <c r="C98" s="12" t="s">
        <v>580</v>
      </c>
      <c r="D98" s="12" t="s">
        <v>28</v>
      </c>
      <c r="E98" s="12" t="s">
        <v>50</v>
      </c>
      <c r="F98" s="12" t="s">
        <v>587</v>
      </c>
      <c r="G98" s="12" t="s">
        <v>588</v>
      </c>
      <c r="H98" s="12" t="s">
        <v>589</v>
      </c>
      <c r="I98" s="12" t="s">
        <v>172</v>
      </c>
      <c r="J98" s="12" t="s">
        <v>590</v>
      </c>
      <c r="K98" s="12"/>
      <c r="L98" s="12" t="s">
        <v>56</v>
      </c>
      <c r="M98" s="12"/>
      <c r="N98" s="12"/>
      <c r="O98" s="12"/>
    </row>
    <row r="99" customFormat="false" ht="22.35" hidden="false" customHeight="false" outlineLevel="0" collapsed="false">
      <c r="A99" s="12" t="s">
        <v>591</v>
      </c>
      <c r="B99" s="12" t="s">
        <v>17</v>
      </c>
      <c r="C99" s="12" t="s">
        <v>580</v>
      </c>
      <c r="D99" s="12" t="s">
        <v>31</v>
      </c>
      <c r="E99" s="12" t="s">
        <v>50</v>
      </c>
      <c r="F99" s="12" t="s">
        <v>592</v>
      </c>
      <c r="G99" s="12" t="s">
        <v>593</v>
      </c>
      <c r="H99" s="12" t="s">
        <v>594</v>
      </c>
      <c r="I99" s="12" t="s">
        <v>172</v>
      </c>
      <c r="J99" s="12" t="s">
        <v>595</v>
      </c>
      <c r="K99" s="12"/>
      <c r="L99" s="12" t="s">
        <v>56</v>
      </c>
      <c r="M99" s="12"/>
      <c r="N99" s="12"/>
      <c r="O99" s="12"/>
    </row>
    <row r="100" customFormat="false" ht="15" hidden="false" customHeight="false" outlineLevel="0" collapsed="false">
      <c r="A100" s="12" t="s">
        <v>596</v>
      </c>
      <c r="B100" s="12" t="s">
        <v>17</v>
      </c>
      <c r="C100" s="12" t="s">
        <v>597</v>
      </c>
      <c r="D100" s="12" t="s">
        <v>27</v>
      </c>
      <c r="E100" s="12" t="s">
        <v>50</v>
      </c>
      <c r="F100" s="12" t="s">
        <v>598</v>
      </c>
      <c r="G100" s="12" t="s">
        <v>599</v>
      </c>
      <c r="H100" s="12" t="s">
        <v>600</v>
      </c>
      <c r="I100" s="12" t="s">
        <v>172</v>
      </c>
      <c r="J100" s="12" t="s">
        <v>601</v>
      </c>
      <c r="K100" s="12"/>
      <c r="L100" s="12" t="s">
        <v>56</v>
      </c>
      <c r="M100" s="12"/>
      <c r="N100" s="12"/>
      <c r="O100" s="12"/>
    </row>
    <row r="101" customFormat="false" ht="22.35" hidden="false" customHeight="false" outlineLevel="0" collapsed="false">
      <c r="A101" s="12" t="s">
        <v>602</v>
      </c>
      <c r="B101" s="12" t="s">
        <v>17</v>
      </c>
      <c r="C101" s="12" t="s">
        <v>580</v>
      </c>
      <c r="D101" s="12" t="s">
        <v>28</v>
      </c>
      <c r="E101" s="12" t="s">
        <v>70</v>
      </c>
      <c r="F101" s="12" t="s">
        <v>603</v>
      </c>
      <c r="G101" s="12" t="s">
        <v>604</v>
      </c>
      <c r="H101" s="12" t="s">
        <v>605</v>
      </c>
      <c r="I101" s="12" t="s">
        <v>172</v>
      </c>
      <c r="J101" s="12" t="s">
        <v>606</v>
      </c>
      <c r="K101" s="12"/>
      <c r="L101" s="12" t="s">
        <v>56</v>
      </c>
      <c r="M101" s="12"/>
      <c r="N101" s="12"/>
      <c r="O101" s="12"/>
    </row>
    <row r="102" customFormat="false" ht="22.35" hidden="false" customHeight="false" outlineLevel="0" collapsed="false">
      <c r="A102" s="12" t="s">
        <v>607</v>
      </c>
      <c r="B102" s="12" t="s">
        <v>17</v>
      </c>
      <c r="C102" s="12" t="s">
        <v>580</v>
      </c>
      <c r="D102" s="12" t="s">
        <v>28</v>
      </c>
      <c r="E102" s="12" t="s">
        <v>105</v>
      </c>
      <c r="F102" s="12" t="s">
        <v>608</v>
      </c>
      <c r="G102" s="12" t="s">
        <v>609</v>
      </c>
      <c r="H102" s="12" t="s">
        <v>610</v>
      </c>
      <c r="I102" s="12" t="s">
        <v>172</v>
      </c>
      <c r="J102" s="12" t="s">
        <v>611</v>
      </c>
      <c r="K102" s="12"/>
      <c r="L102" s="12" t="s">
        <v>56</v>
      </c>
      <c r="M102" s="12"/>
      <c r="N102" s="12"/>
      <c r="O102" s="12"/>
    </row>
    <row r="103" customFormat="false" ht="15" hidden="false" customHeight="false" outlineLevel="0" collapsed="false">
      <c r="A103" s="12" t="s">
        <v>612</v>
      </c>
      <c r="B103" s="12" t="s">
        <v>17</v>
      </c>
      <c r="C103" s="12" t="s">
        <v>613</v>
      </c>
      <c r="D103" s="12" t="s">
        <v>30</v>
      </c>
      <c r="E103" s="12" t="s">
        <v>70</v>
      </c>
      <c r="F103" s="12" t="s">
        <v>614</v>
      </c>
      <c r="G103" s="12" t="s">
        <v>59</v>
      </c>
      <c r="H103" s="12" t="s">
        <v>615</v>
      </c>
      <c r="I103" s="12" t="s">
        <v>172</v>
      </c>
      <c r="J103" s="12" t="s">
        <v>616</v>
      </c>
      <c r="K103" s="12"/>
      <c r="L103" s="12" t="s">
        <v>56</v>
      </c>
      <c r="M103" s="12"/>
      <c r="N103" s="12"/>
      <c r="O103" s="12"/>
    </row>
    <row r="104" customFormat="false" ht="22.35" hidden="false" customHeight="false" outlineLevel="0" collapsed="false">
      <c r="A104" s="12" t="s">
        <v>617</v>
      </c>
      <c r="B104" s="12" t="s">
        <v>18</v>
      </c>
      <c r="C104" s="12" t="s">
        <v>618</v>
      </c>
      <c r="D104" s="12" t="s">
        <v>27</v>
      </c>
      <c r="E104" s="12" t="s">
        <v>50</v>
      </c>
      <c r="F104" s="12" t="s">
        <v>619</v>
      </c>
      <c r="G104" s="12" t="s">
        <v>620</v>
      </c>
      <c r="H104" s="12" t="s">
        <v>621</v>
      </c>
      <c r="I104" s="12" t="s">
        <v>622</v>
      </c>
      <c r="J104" s="12" t="s">
        <v>623</v>
      </c>
      <c r="K104" s="12"/>
      <c r="L104" s="12" t="s">
        <v>56</v>
      </c>
      <c r="M104" s="12"/>
      <c r="N104" s="12"/>
      <c r="O104" s="12"/>
    </row>
    <row r="105" customFormat="false" ht="15" hidden="false" customHeight="false" outlineLevel="0" collapsed="false">
      <c r="A105" s="12" t="s">
        <v>624</v>
      </c>
      <c r="B105" s="12" t="s">
        <v>18</v>
      </c>
      <c r="C105" s="12" t="s">
        <v>618</v>
      </c>
      <c r="D105" s="12" t="s">
        <v>28</v>
      </c>
      <c r="E105" s="12" t="s">
        <v>50</v>
      </c>
      <c r="F105" s="12" t="s">
        <v>625</v>
      </c>
      <c r="G105" s="12" t="s">
        <v>626</v>
      </c>
      <c r="H105" s="12" t="s">
        <v>621</v>
      </c>
      <c r="I105" s="12" t="s">
        <v>627</v>
      </c>
      <c r="J105" s="12" t="s">
        <v>628</v>
      </c>
      <c r="K105" s="12"/>
      <c r="L105" s="12" t="s">
        <v>56</v>
      </c>
      <c r="M105" s="12"/>
      <c r="N105" s="12"/>
      <c r="O105" s="12"/>
    </row>
    <row r="106" customFormat="false" ht="15" hidden="false" customHeight="false" outlineLevel="0" collapsed="false">
      <c r="A106" s="12" t="s">
        <v>629</v>
      </c>
      <c r="B106" s="12" t="s">
        <v>18</v>
      </c>
      <c r="C106" s="12" t="s">
        <v>618</v>
      </c>
      <c r="D106" s="12" t="s">
        <v>28</v>
      </c>
      <c r="E106" s="12" t="s">
        <v>50</v>
      </c>
      <c r="F106" s="12" t="s">
        <v>630</v>
      </c>
      <c r="G106" s="12" t="s">
        <v>631</v>
      </c>
      <c r="H106" s="12" t="s">
        <v>621</v>
      </c>
      <c r="I106" s="12" t="s">
        <v>632</v>
      </c>
      <c r="J106" s="12" t="s">
        <v>628</v>
      </c>
      <c r="K106" s="12"/>
      <c r="L106" s="12" t="s">
        <v>56</v>
      </c>
      <c r="M106" s="12"/>
      <c r="N106" s="12"/>
      <c r="O106" s="12"/>
    </row>
    <row r="107" customFormat="false" ht="15" hidden="false" customHeight="false" outlineLevel="0" collapsed="false">
      <c r="A107" s="12" t="s">
        <v>633</v>
      </c>
      <c r="B107" s="12" t="s">
        <v>18</v>
      </c>
      <c r="C107" s="12" t="s">
        <v>618</v>
      </c>
      <c r="D107" s="12" t="s">
        <v>28</v>
      </c>
      <c r="E107" s="12" t="s">
        <v>70</v>
      </c>
      <c r="F107" s="12" t="s">
        <v>634</v>
      </c>
      <c r="G107" s="12" t="s">
        <v>151</v>
      </c>
      <c r="H107" s="12" t="s">
        <v>635</v>
      </c>
      <c r="I107" s="12" t="s">
        <v>636</v>
      </c>
      <c r="J107" s="12" t="s">
        <v>637</v>
      </c>
      <c r="K107" s="12"/>
      <c r="L107" s="12" t="s">
        <v>56</v>
      </c>
      <c r="M107" s="12"/>
      <c r="N107" s="12"/>
      <c r="O107" s="12"/>
    </row>
    <row r="108" customFormat="false" ht="22.35" hidden="false" customHeight="false" outlineLevel="0" collapsed="false">
      <c r="A108" s="12" t="s">
        <v>638</v>
      </c>
      <c r="B108" s="12" t="s">
        <v>18</v>
      </c>
      <c r="C108" s="12" t="s">
        <v>639</v>
      </c>
      <c r="D108" s="12" t="s">
        <v>27</v>
      </c>
      <c r="E108" s="12" t="s">
        <v>50</v>
      </c>
      <c r="F108" s="12" t="s">
        <v>640</v>
      </c>
      <c r="G108" s="12" t="s">
        <v>641</v>
      </c>
      <c r="H108" s="12" t="s">
        <v>642</v>
      </c>
      <c r="I108" s="12" t="s">
        <v>172</v>
      </c>
      <c r="J108" s="12" t="s">
        <v>643</v>
      </c>
      <c r="K108" s="12"/>
      <c r="L108" s="12" t="s">
        <v>56</v>
      </c>
      <c r="M108" s="12"/>
      <c r="N108" s="12"/>
      <c r="O108" s="12"/>
    </row>
    <row r="109" customFormat="false" ht="15" hidden="false" customHeight="false" outlineLevel="0" collapsed="false">
      <c r="A109" s="12" t="s">
        <v>644</v>
      </c>
      <c r="B109" s="12" t="s">
        <v>18</v>
      </c>
      <c r="C109" s="12" t="s">
        <v>645</v>
      </c>
      <c r="D109" s="12" t="s">
        <v>28</v>
      </c>
      <c r="E109" s="12" t="s">
        <v>50</v>
      </c>
      <c r="F109" s="12" t="s">
        <v>646</v>
      </c>
      <c r="G109" s="12" t="s">
        <v>647</v>
      </c>
      <c r="H109" s="12" t="s">
        <v>642</v>
      </c>
      <c r="I109" s="12" t="s">
        <v>172</v>
      </c>
      <c r="J109" s="12" t="s">
        <v>337</v>
      </c>
      <c r="K109" s="12"/>
      <c r="L109" s="12" t="s">
        <v>56</v>
      </c>
      <c r="M109" s="12"/>
      <c r="N109" s="12"/>
      <c r="O109" s="12"/>
    </row>
    <row r="110" customFormat="false" ht="32.8" hidden="false" customHeight="false" outlineLevel="0" collapsed="false">
      <c r="A110" s="12" t="s">
        <v>648</v>
      </c>
      <c r="B110" s="12" t="s">
        <v>18</v>
      </c>
      <c r="C110" s="12" t="s">
        <v>649</v>
      </c>
      <c r="D110" s="12" t="s">
        <v>30</v>
      </c>
      <c r="E110" s="12" t="s">
        <v>50</v>
      </c>
      <c r="F110" s="12" t="s">
        <v>650</v>
      </c>
      <c r="G110" s="12" t="s">
        <v>651</v>
      </c>
      <c r="H110" s="12" t="s">
        <v>652</v>
      </c>
      <c r="I110" s="12" t="s">
        <v>172</v>
      </c>
      <c r="J110" s="12" t="s">
        <v>653</v>
      </c>
      <c r="K110" s="12"/>
      <c r="L110" s="12" t="s">
        <v>56</v>
      </c>
      <c r="M110" s="12"/>
      <c r="N110" s="12"/>
      <c r="O110" s="12" t="s">
        <v>654</v>
      </c>
    </row>
    <row r="111" customFormat="false" ht="22.35" hidden="false" customHeight="false" outlineLevel="0" collapsed="false">
      <c r="A111" s="12" t="s">
        <v>655</v>
      </c>
      <c r="B111" s="12" t="s">
        <v>18</v>
      </c>
      <c r="C111" s="12" t="s">
        <v>649</v>
      </c>
      <c r="D111" s="12" t="s">
        <v>30</v>
      </c>
      <c r="E111" s="12" t="s">
        <v>50</v>
      </c>
      <c r="F111" s="12" t="s">
        <v>656</v>
      </c>
      <c r="G111" s="12" t="s">
        <v>657</v>
      </c>
      <c r="H111" s="12" t="s">
        <v>658</v>
      </c>
      <c r="I111" s="12" t="s">
        <v>172</v>
      </c>
      <c r="J111" s="12" t="s">
        <v>653</v>
      </c>
      <c r="K111" s="12"/>
      <c r="L111" s="12" t="s">
        <v>56</v>
      </c>
      <c r="M111" s="12"/>
      <c r="N111" s="12"/>
      <c r="O111" s="12" t="s">
        <v>659</v>
      </c>
    </row>
    <row r="112" customFormat="false" ht="15" hidden="false" customHeight="false" outlineLevel="0" collapsed="false">
      <c r="A112" s="12" t="s">
        <v>660</v>
      </c>
      <c r="B112" s="12" t="s">
        <v>18</v>
      </c>
      <c r="C112" s="12" t="s">
        <v>661</v>
      </c>
      <c r="D112" s="12" t="s">
        <v>27</v>
      </c>
      <c r="E112" s="12" t="s">
        <v>50</v>
      </c>
      <c r="F112" s="12" t="s">
        <v>662</v>
      </c>
      <c r="G112" s="12" t="s">
        <v>663</v>
      </c>
      <c r="H112" s="12" t="s">
        <v>664</v>
      </c>
      <c r="I112" s="12" t="s">
        <v>665</v>
      </c>
      <c r="J112" s="12" t="s">
        <v>666</v>
      </c>
      <c r="K112" s="12"/>
      <c r="L112" s="12" t="s">
        <v>56</v>
      </c>
      <c r="M112" s="12"/>
      <c r="N112" s="12"/>
      <c r="O112" s="12"/>
    </row>
    <row r="113" customFormat="false" ht="15" hidden="false" customHeight="false" outlineLevel="0" collapsed="false">
      <c r="A113" s="12" t="s">
        <v>667</v>
      </c>
      <c r="B113" s="12" t="s">
        <v>18</v>
      </c>
      <c r="C113" s="12" t="s">
        <v>661</v>
      </c>
      <c r="D113" s="12" t="s">
        <v>28</v>
      </c>
      <c r="E113" s="12" t="s">
        <v>50</v>
      </c>
      <c r="F113" s="12" t="s">
        <v>668</v>
      </c>
      <c r="G113" s="12" t="s">
        <v>669</v>
      </c>
      <c r="H113" s="12" t="s">
        <v>670</v>
      </c>
      <c r="I113" s="12" t="s">
        <v>172</v>
      </c>
      <c r="J113" s="12" t="s">
        <v>671</v>
      </c>
      <c r="K113" s="12"/>
      <c r="L113" s="12" t="s">
        <v>56</v>
      </c>
      <c r="M113" s="12"/>
      <c r="N113" s="12"/>
      <c r="O113" s="12"/>
    </row>
    <row r="114" customFormat="false" ht="15" hidden="false" customHeight="false" outlineLevel="0" collapsed="false">
      <c r="A114" s="12" t="s">
        <v>672</v>
      </c>
      <c r="B114" s="12" t="s">
        <v>18</v>
      </c>
      <c r="C114" s="12" t="s">
        <v>661</v>
      </c>
      <c r="D114" s="12" t="s">
        <v>28</v>
      </c>
      <c r="E114" s="12" t="s">
        <v>50</v>
      </c>
      <c r="F114" s="12" t="s">
        <v>673</v>
      </c>
      <c r="G114" s="12" t="s">
        <v>674</v>
      </c>
      <c r="H114" s="12" t="s">
        <v>664</v>
      </c>
      <c r="I114" s="12" t="s">
        <v>172</v>
      </c>
      <c r="J114" s="12" t="s">
        <v>628</v>
      </c>
      <c r="K114" s="12"/>
      <c r="L114" s="12" t="s">
        <v>56</v>
      </c>
      <c r="M114" s="12"/>
      <c r="N114" s="12"/>
      <c r="O114" s="12"/>
    </row>
    <row r="115" customFormat="false" ht="22.35" hidden="false" customHeight="false" outlineLevel="0" collapsed="false">
      <c r="A115" s="12" t="s">
        <v>675</v>
      </c>
      <c r="B115" s="12" t="s">
        <v>18</v>
      </c>
      <c r="C115" s="12" t="s">
        <v>649</v>
      </c>
      <c r="D115" s="12" t="s">
        <v>30</v>
      </c>
      <c r="E115" s="12" t="s">
        <v>50</v>
      </c>
      <c r="F115" s="12" t="s">
        <v>676</v>
      </c>
      <c r="G115" s="12" t="s">
        <v>677</v>
      </c>
      <c r="H115" s="12" t="s">
        <v>678</v>
      </c>
      <c r="I115" s="12" t="s">
        <v>172</v>
      </c>
      <c r="J115" s="12" t="s">
        <v>679</v>
      </c>
      <c r="K115" s="12"/>
      <c r="L115" s="12" t="s">
        <v>56</v>
      </c>
      <c r="M115" s="12"/>
      <c r="N115" s="12"/>
      <c r="O115" s="12" t="s">
        <v>680</v>
      </c>
    </row>
    <row r="116" customFormat="false" ht="22.35" hidden="false" customHeight="false" outlineLevel="0" collapsed="false">
      <c r="A116" s="12" t="s">
        <v>681</v>
      </c>
      <c r="B116" s="12" t="s">
        <v>19</v>
      </c>
      <c r="C116" s="12" t="s">
        <v>682</v>
      </c>
      <c r="D116" s="12" t="s">
        <v>27</v>
      </c>
      <c r="E116" s="12" t="s">
        <v>50</v>
      </c>
      <c r="F116" s="12" t="s">
        <v>683</v>
      </c>
      <c r="G116" s="12" t="s">
        <v>641</v>
      </c>
      <c r="H116" s="12" t="s">
        <v>684</v>
      </c>
      <c r="I116" s="12" t="s">
        <v>685</v>
      </c>
      <c r="J116" s="12" t="s">
        <v>686</v>
      </c>
      <c r="K116" s="12"/>
      <c r="L116" s="12" t="s">
        <v>56</v>
      </c>
      <c r="M116" s="12"/>
      <c r="N116" s="12"/>
      <c r="O116" s="12"/>
    </row>
    <row r="117" customFormat="false" ht="22.35" hidden="false" customHeight="false" outlineLevel="0" collapsed="false">
      <c r="A117" s="12" t="s">
        <v>687</v>
      </c>
      <c r="B117" s="12" t="s">
        <v>19</v>
      </c>
      <c r="C117" s="12" t="s">
        <v>688</v>
      </c>
      <c r="D117" s="12" t="s">
        <v>32</v>
      </c>
      <c r="E117" s="12" t="s">
        <v>50</v>
      </c>
      <c r="F117" s="12" t="s">
        <v>689</v>
      </c>
      <c r="G117" s="12" t="s">
        <v>690</v>
      </c>
      <c r="H117" s="12" t="s">
        <v>691</v>
      </c>
      <c r="I117" s="12" t="s">
        <v>692</v>
      </c>
      <c r="J117" s="12" t="s">
        <v>693</v>
      </c>
      <c r="K117" s="12"/>
      <c r="L117" s="12" t="s">
        <v>56</v>
      </c>
      <c r="M117" s="12"/>
      <c r="N117" s="12"/>
      <c r="O117" s="12"/>
    </row>
    <row r="118" customFormat="false" ht="22.35" hidden="false" customHeight="false" outlineLevel="0" collapsed="false">
      <c r="A118" s="12" t="s">
        <v>694</v>
      </c>
      <c r="B118" s="12" t="s">
        <v>19</v>
      </c>
      <c r="C118" s="12" t="s">
        <v>688</v>
      </c>
      <c r="D118" s="12" t="s">
        <v>32</v>
      </c>
      <c r="E118" s="12" t="s">
        <v>50</v>
      </c>
      <c r="F118" s="12" t="s">
        <v>695</v>
      </c>
      <c r="G118" s="12" t="s">
        <v>696</v>
      </c>
      <c r="H118" s="12" t="s">
        <v>697</v>
      </c>
      <c r="I118" s="12" t="s">
        <v>692</v>
      </c>
      <c r="J118" s="12" t="s">
        <v>698</v>
      </c>
      <c r="K118" s="12"/>
      <c r="L118" s="12" t="s">
        <v>56</v>
      </c>
      <c r="M118" s="12"/>
      <c r="N118" s="12"/>
      <c r="O118" s="12"/>
    </row>
    <row r="119" customFormat="false" ht="15" hidden="false" customHeight="false" outlineLevel="0" collapsed="false">
      <c r="A119" s="12" t="s">
        <v>699</v>
      </c>
      <c r="B119" s="12" t="s">
        <v>19</v>
      </c>
      <c r="C119" s="12" t="s">
        <v>688</v>
      </c>
      <c r="D119" s="12" t="s">
        <v>30</v>
      </c>
      <c r="E119" s="12" t="s">
        <v>50</v>
      </c>
      <c r="F119" s="12" t="s">
        <v>700</v>
      </c>
      <c r="G119" s="12" t="s">
        <v>59</v>
      </c>
      <c r="H119" s="12" t="s">
        <v>701</v>
      </c>
      <c r="I119" s="12" t="s">
        <v>702</v>
      </c>
      <c r="J119" s="12" t="s">
        <v>703</v>
      </c>
      <c r="K119" s="12"/>
      <c r="L119" s="12" t="s">
        <v>56</v>
      </c>
      <c r="M119" s="12"/>
      <c r="N119" s="12"/>
      <c r="O119" s="12"/>
    </row>
    <row r="120" customFormat="false" ht="15" hidden="false" customHeight="false" outlineLevel="0" collapsed="false">
      <c r="A120" s="12" t="s">
        <v>704</v>
      </c>
      <c r="B120" s="12" t="s">
        <v>19</v>
      </c>
      <c r="C120" s="12" t="s">
        <v>212</v>
      </c>
      <c r="D120" s="12" t="s">
        <v>31</v>
      </c>
      <c r="E120" s="12" t="s">
        <v>50</v>
      </c>
      <c r="F120" s="12" t="s">
        <v>705</v>
      </c>
      <c r="G120" s="12" t="s">
        <v>706</v>
      </c>
      <c r="H120" s="12" t="s">
        <v>707</v>
      </c>
      <c r="I120" s="12" t="s">
        <v>708</v>
      </c>
      <c r="J120" s="12" t="s">
        <v>709</v>
      </c>
      <c r="K120" s="12"/>
      <c r="L120" s="12" t="s">
        <v>56</v>
      </c>
      <c r="M120" s="12"/>
      <c r="N120" s="12"/>
      <c r="O120" s="12"/>
    </row>
    <row r="121" customFormat="false" ht="15" hidden="false" customHeight="false" outlineLevel="0" collapsed="false">
      <c r="A121" s="12" t="s">
        <v>710</v>
      </c>
      <c r="B121" s="12" t="s">
        <v>19</v>
      </c>
      <c r="C121" s="12" t="s">
        <v>419</v>
      </c>
      <c r="D121" s="12" t="s">
        <v>28</v>
      </c>
      <c r="E121" s="12" t="s">
        <v>70</v>
      </c>
      <c r="F121" s="12" t="s">
        <v>711</v>
      </c>
      <c r="G121" s="12" t="s">
        <v>712</v>
      </c>
      <c r="H121" s="12" t="s">
        <v>713</v>
      </c>
      <c r="I121" s="12" t="s">
        <v>714</v>
      </c>
      <c r="J121" s="12" t="s">
        <v>715</v>
      </c>
      <c r="K121" s="12"/>
      <c r="L121" s="12" t="s">
        <v>56</v>
      </c>
      <c r="M121" s="12"/>
      <c r="N121" s="12"/>
      <c r="O121" s="12"/>
    </row>
    <row r="122" customFormat="false" ht="22.35" hidden="false" customHeight="false" outlineLevel="0" collapsed="false">
      <c r="A122" s="12" t="s">
        <v>716</v>
      </c>
      <c r="B122" s="12" t="s">
        <v>19</v>
      </c>
      <c r="C122" s="12" t="s">
        <v>212</v>
      </c>
      <c r="D122" s="12" t="s">
        <v>32</v>
      </c>
      <c r="E122" s="12" t="s">
        <v>50</v>
      </c>
      <c r="F122" s="12" t="s">
        <v>717</v>
      </c>
      <c r="G122" s="12" t="s">
        <v>718</v>
      </c>
      <c r="H122" s="12" t="s">
        <v>719</v>
      </c>
      <c r="I122" s="12" t="s">
        <v>172</v>
      </c>
      <c r="J122" s="12" t="s">
        <v>720</v>
      </c>
      <c r="K122" s="12"/>
      <c r="L122" s="12" t="s">
        <v>56</v>
      </c>
      <c r="M122" s="12"/>
      <c r="N122" s="12"/>
      <c r="O122" s="12"/>
    </row>
    <row r="123" customFormat="false" ht="32.8" hidden="false" customHeight="false" outlineLevel="0" collapsed="false">
      <c r="A123" s="12" t="s">
        <v>721</v>
      </c>
      <c r="B123" s="12" t="s">
        <v>19</v>
      </c>
      <c r="C123" s="12" t="s">
        <v>722</v>
      </c>
      <c r="D123" s="12" t="s">
        <v>27</v>
      </c>
      <c r="E123" s="12" t="s">
        <v>50</v>
      </c>
      <c r="F123" s="12" t="s">
        <v>723</v>
      </c>
      <c r="G123" s="12" t="s">
        <v>724</v>
      </c>
      <c r="H123" s="12" t="s">
        <v>725</v>
      </c>
      <c r="I123" s="12" t="s">
        <v>172</v>
      </c>
      <c r="J123" s="12" t="s">
        <v>726</v>
      </c>
      <c r="K123" s="12"/>
      <c r="L123" s="12" t="s">
        <v>56</v>
      </c>
      <c r="M123" s="12"/>
      <c r="N123" s="12"/>
      <c r="O123" s="12"/>
    </row>
    <row r="124" customFormat="false" ht="22.35" hidden="false" customHeight="false" outlineLevel="0" collapsed="false">
      <c r="A124" s="12" t="s">
        <v>727</v>
      </c>
      <c r="B124" s="12" t="s">
        <v>19</v>
      </c>
      <c r="C124" s="12" t="s">
        <v>722</v>
      </c>
      <c r="D124" s="12" t="s">
        <v>27</v>
      </c>
      <c r="E124" s="12" t="s">
        <v>50</v>
      </c>
      <c r="F124" s="12" t="s">
        <v>728</v>
      </c>
      <c r="G124" s="12" t="s">
        <v>729</v>
      </c>
      <c r="H124" s="12" t="s">
        <v>730</v>
      </c>
      <c r="I124" s="12" t="s">
        <v>172</v>
      </c>
      <c r="J124" s="12" t="s">
        <v>731</v>
      </c>
      <c r="K124" s="12"/>
      <c r="L124" s="12" t="s">
        <v>56</v>
      </c>
      <c r="M124" s="12"/>
      <c r="N124" s="12"/>
      <c r="O124" s="12"/>
    </row>
    <row r="125" customFormat="false" ht="22.35" hidden="false" customHeight="false" outlineLevel="0" collapsed="false">
      <c r="A125" s="12" t="s">
        <v>732</v>
      </c>
      <c r="B125" s="12" t="s">
        <v>19</v>
      </c>
      <c r="C125" s="12" t="s">
        <v>722</v>
      </c>
      <c r="D125" s="12" t="s">
        <v>27</v>
      </c>
      <c r="E125" s="12" t="s">
        <v>50</v>
      </c>
      <c r="F125" s="12" t="s">
        <v>733</v>
      </c>
      <c r="G125" s="12" t="s">
        <v>734</v>
      </c>
      <c r="H125" s="12" t="s">
        <v>735</v>
      </c>
      <c r="I125" s="12" t="s">
        <v>172</v>
      </c>
      <c r="J125" s="12" t="s">
        <v>736</v>
      </c>
      <c r="K125" s="12"/>
      <c r="L125" s="12" t="s">
        <v>56</v>
      </c>
      <c r="M125" s="12"/>
      <c r="N125" s="12"/>
      <c r="O125" s="12"/>
    </row>
    <row r="126" customFormat="false" ht="22.35" hidden="false" customHeight="false" outlineLevel="0" collapsed="false">
      <c r="A126" s="12" t="s">
        <v>737</v>
      </c>
      <c r="B126" s="12" t="s">
        <v>19</v>
      </c>
      <c r="C126" s="12" t="s">
        <v>738</v>
      </c>
      <c r="D126" s="12" t="s">
        <v>32</v>
      </c>
      <c r="E126" s="12" t="s">
        <v>50</v>
      </c>
      <c r="F126" s="12" t="s">
        <v>739</v>
      </c>
      <c r="G126" s="12" t="s">
        <v>740</v>
      </c>
      <c r="H126" s="12" t="s">
        <v>741</v>
      </c>
      <c r="I126" s="12" t="s">
        <v>742</v>
      </c>
      <c r="J126" s="12" t="s">
        <v>743</v>
      </c>
      <c r="K126" s="12"/>
      <c r="L126" s="12" t="s">
        <v>56</v>
      </c>
      <c r="M126" s="12"/>
      <c r="N126" s="12"/>
      <c r="O126" s="12"/>
    </row>
    <row r="127" customFormat="false" ht="22.35" hidden="false" customHeight="false" outlineLevel="0" collapsed="false">
      <c r="A127" s="12" t="s">
        <v>744</v>
      </c>
      <c r="B127" s="12" t="s">
        <v>19</v>
      </c>
      <c r="C127" s="12" t="s">
        <v>722</v>
      </c>
      <c r="D127" s="12" t="s">
        <v>27</v>
      </c>
      <c r="E127" s="12" t="s">
        <v>50</v>
      </c>
      <c r="F127" s="12" t="s">
        <v>745</v>
      </c>
      <c r="G127" s="12" t="s">
        <v>746</v>
      </c>
      <c r="H127" s="12" t="s">
        <v>747</v>
      </c>
      <c r="I127" s="12" t="s">
        <v>748</v>
      </c>
      <c r="J127" s="12" t="s">
        <v>749</v>
      </c>
      <c r="K127" s="12"/>
      <c r="L127" s="12" t="s">
        <v>56</v>
      </c>
      <c r="M127" s="12"/>
      <c r="N127" s="12"/>
      <c r="O127" s="12"/>
    </row>
    <row r="128" customFormat="false" ht="22.35" hidden="false" customHeight="false" outlineLevel="0" collapsed="false">
      <c r="A128" s="12" t="s">
        <v>750</v>
      </c>
      <c r="B128" s="12" t="s">
        <v>19</v>
      </c>
      <c r="C128" s="12" t="s">
        <v>738</v>
      </c>
      <c r="D128" s="12" t="s">
        <v>29</v>
      </c>
      <c r="E128" s="12" t="s">
        <v>70</v>
      </c>
      <c r="F128" s="12" t="s">
        <v>751</v>
      </c>
      <c r="G128" s="12" t="s">
        <v>740</v>
      </c>
      <c r="H128" s="12" t="s">
        <v>752</v>
      </c>
      <c r="I128" s="12" t="s">
        <v>172</v>
      </c>
      <c r="J128" s="12" t="s">
        <v>753</v>
      </c>
      <c r="K128" s="12"/>
      <c r="L128" s="12" t="s">
        <v>56</v>
      </c>
      <c r="M128" s="12"/>
      <c r="N128" s="12"/>
      <c r="O128" s="12"/>
    </row>
    <row r="129" customFormat="false" ht="15" hidden="false" customHeight="false" outlineLevel="0" collapsed="false">
      <c r="A129" s="12" t="s">
        <v>754</v>
      </c>
      <c r="B129" s="12" t="s">
        <v>19</v>
      </c>
      <c r="C129" s="12" t="s">
        <v>315</v>
      </c>
      <c r="D129" s="12" t="s">
        <v>30</v>
      </c>
      <c r="E129" s="12" t="s">
        <v>50</v>
      </c>
      <c r="F129" s="12" t="s">
        <v>755</v>
      </c>
      <c r="G129" s="12" t="s">
        <v>317</v>
      </c>
      <c r="H129" s="12" t="s">
        <v>747</v>
      </c>
      <c r="I129" s="12" t="s">
        <v>172</v>
      </c>
      <c r="J129" s="12" t="s">
        <v>320</v>
      </c>
      <c r="K129" s="12"/>
      <c r="L129" s="12" t="s">
        <v>56</v>
      </c>
      <c r="M129" s="12"/>
      <c r="N129" s="12"/>
      <c r="O129" s="12"/>
    </row>
    <row r="130" customFormat="false" ht="15" hidden="false" customHeight="false" outlineLevel="0" collapsed="false">
      <c r="A130" s="12" t="s">
        <v>756</v>
      </c>
      <c r="B130" s="12" t="s">
        <v>19</v>
      </c>
      <c r="C130" s="12" t="s">
        <v>419</v>
      </c>
      <c r="D130" s="12" t="s">
        <v>28</v>
      </c>
      <c r="E130" s="12" t="s">
        <v>70</v>
      </c>
      <c r="F130" s="12" t="s">
        <v>757</v>
      </c>
      <c r="G130" s="12" t="s">
        <v>696</v>
      </c>
      <c r="H130" s="12" t="s">
        <v>747</v>
      </c>
      <c r="I130" s="12" t="s">
        <v>172</v>
      </c>
      <c r="J130" s="12" t="s">
        <v>758</v>
      </c>
      <c r="K130" s="12"/>
      <c r="L130" s="12" t="s">
        <v>56</v>
      </c>
      <c r="M130" s="12"/>
      <c r="N130" s="12"/>
      <c r="O130" s="12"/>
    </row>
    <row r="131" customFormat="false" ht="43.25" hidden="false" customHeight="false" outlineLevel="0" collapsed="false">
      <c r="A131" s="12" t="s">
        <v>759</v>
      </c>
      <c r="B131" s="12" t="s">
        <v>19</v>
      </c>
      <c r="C131" s="12" t="s">
        <v>760</v>
      </c>
      <c r="D131" s="12" t="s">
        <v>27</v>
      </c>
      <c r="E131" s="12" t="s">
        <v>70</v>
      </c>
      <c r="F131" s="12" t="s">
        <v>761</v>
      </c>
      <c r="G131" s="12" t="s">
        <v>762</v>
      </c>
      <c r="H131" s="12" t="s">
        <v>763</v>
      </c>
      <c r="I131" s="12" t="s">
        <v>172</v>
      </c>
      <c r="J131" s="12" t="s">
        <v>764</v>
      </c>
      <c r="K131" s="12"/>
      <c r="L131" s="12" t="s">
        <v>56</v>
      </c>
      <c r="M131" s="12"/>
      <c r="N131" s="12"/>
      <c r="O131" s="12"/>
    </row>
    <row r="132" customFormat="false" ht="22.35" hidden="false" customHeight="false" outlineLevel="0" collapsed="false">
      <c r="A132" s="12" t="s">
        <v>765</v>
      </c>
      <c r="B132" s="12" t="s">
        <v>20</v>
      </c>
      <c r="C132" s="12" t="s">
        <v>766</v>
      </c>
      <c r="D132" s="12" t="s">
        <v>27</v>
      </c>
      <c r="E132" s="12" t="s">
        <v>70</v>
      </c>
      <c r="F132" s="12" t="s">
        <v>767</v>
      </c>
      <c r="G132" s="12" t="s">
        <v>768</v>
      </c>
      <c r="H132" s="12" t="s">
        <v>769</v>
      </c>
      <c r="I132" s="12" t="s">
        <v>172</v>
      </c>
      <c r="J132" s="12" t="s">
        <v>770</v>
      </c>
      <c r="K132" s="12"/>
      <c r="L132" s="12" t="s">
        <v>56</v>
      </c>
      <c r="M132" s="12"/>
      <c r="N132" s="12"/>
      <c r="O132" s="12"/>
    </row>
    <row r="133" customFormat="false" ht="15" hidden="false" customHeight="false" outlineLevel="0" collapsed="false">
      <c r="A133" s="12" t="s">
        <v>771</v>
      </c>
      <c r="B133" s="12" t="s">
        <v>20</v>
      </c>
      <c r="C133" s="12" t="s">
        <v>766</v>
      </c>
      <c r="D133" s="12" t="s">
        <v>28</v>
      </c>
      <c r="E133" s="12" t="s">
        <v>105</v>
      </c>
      <c r="F133" s="12" t="s">
        <v>772</v>
      </c>
      <c r="G133" s="12" t="s">
        <v>773</v>
      </c>
      <c r="H133" s="12" t="s">
        <v>774</v>
      </c>
      <c r="I133" s="12" t="s">
        <v>172</v>
      </c>
      <c r="J133" s="12" t="s">
        <v>354</v>
      </c>
      <c r="K133" s="12"/>
      <c r="L133" s="12" t="s">
        <v>56</v>
      </c>
      <c r="M133" s="12"/>
      <c r="N133" s="12"/>
      <c r="O133" s="12"/>
    </row>
    <row r="134" customFormat="false" ht="15" hidden="false" customHeight="false" outlineLevel="0" collapsed="false">
      <c r="A134" s="12" t="s">
        <v>775</v>
      </c>
      <c r="B134" s="12" t="s">
        <v>20</v>
      </c>
      <c r="C134" s="12" t="s">
        <v>776</v>
      </c>
      <c r="D134" s="12" t="s">
        <v>27</v>
      </c>
      <c r="E134" s="12" t="s">
        <v>70</v>
      </c>
      <c r="F134" s="12" t="s">
        <v>777</v>
      </c>
      <c r="G134" s="12" t="s">
        <v>310</v>
      </c>
      <c r="H134" s="12" t="s">
        <v>778</v>
      </c>
      <c r="I134" s="12" t="s">
        <v>779</v>
      </c>
      <c r="J134" s="12" t="s">
        <v>780</v>
      </c>
      <c r="K134" s="12"/>
      <c r="L134" s="12" t="s">
        <v>56</v>
      </c>
      <c r="M134" s="12"/>
      <c r="N134" s="12"/>
      <c r="O134" s="12"/>
    </row>
    <row r="135" customFormat="false" ht="22.35" hidden="false" customHeight="false" outlineLevel="0" collapsed="false">
      <c r="A135" s="12" t="s">
        <v>781</v>
      </c>
      <c r="B135" s="12" t="s">
        <v>20</v>
      </c>
      <c r="C135" s="12" t="s">
        <v>315</v>
      </c>
      <c r="D135" s="12" t="s">
        <v>30</v>
      </c>
      <c r="E135" s="12" t="s">
        <v>50</v>
      </c>
      <c r="F135" s="12" t="s">
        <v>782</v>
      </c>
      <c r="G135" s="12" t="s">
        <v>317</v>
      </c>
      <c r="H135" s="12" t="s">
        <v>783</v>
      </c>
      <c r="I135" s="12" t="s">
        <v>172</v>
      </c>
      <c r="J135" s="12" t="s">
        <v>784</v>
      </c>
      <c r="K135" s="12"/>
      <c r="L135" s="12" t="s">
        <v>56</v>
      </c>
      <c r="M135" s="12"/>
      <c r="N135" s="12"/>
      <c r="O135" s="12"/>
    </row>
    <row r="136" customFormat="false" ht="22.35" hidden="false" customHeight="false" outlineLevel="0" collapsed="false">
      <c r="A136" s="12" t="s">
        <v>785</v>
      </c>
      <c r="B136" s="12" t="s">
        <v>20</v>
      </c>
      <c r="C136" s="12" t="s">
        <v>786</v>
      </c>
      <c r="D136" s="12" t="s">
        <v>28</v>
      </c>
      <c r="E136" s="12" t="s">
        <v>50</v>
      </c>
      <c r="F136" s="12" t="s">
        <v>787</v>
      </c>
      <c r="G136" s="12" t="s">
        <v>788</v>
      </c>
      <c r="H136" s="12" t="s">
        <v>789</v>
      </c>
      <c r="I136" s="12" t="s">
        <v>790</v>
      </c>
      <c r="J136" s="12" t="s">
        <v>791</v>
      </c>
      <c r="K136" s="12"/>
      <c r="L136" s="12" t="s">
        <v>56</v>
      </c>
      <c r="M136" s="12"/>
      <c r="N136" s="12"/>
      <c r="O136" s="12"/>
    </row>
    <row r="137" customFormat="false" ht="22.35" hidden="false" customHeight="false" outlineLevel="0" collapsed="false">
      <c r="A137" s="12" t="s">
        <v>792</v>
      </c>
      <c r="B137" s="12" t="s">
        <v>21</v>
      </c>
      <c r="C137" s="12" t="s">
        <v>793</v>
      </c>
      <c r="D137" s="12" t="s">
        <v>27</v>
      </c>
      <c r="E137" s="12" t="s">
        <v>70</v>
      </c>
      <c r="F137" s="12" t="s">
        <v>794</v>
      </c>
      <c r="G137" s="12" t="s">
        <v>795</v>
      </c>
      <c r="H137" s="12" t="s">
        <v>796</v>
      </c>
      <c r="I137" s="12" t="s">
        <v>172</v>
      </c>
      <c r="J137" s="12" t="s">
        <v>797</v>
      </c>
      <c r="K137" s="12"/>
      <c r="L137" s="12" t="s">
        <v>56</v>
      </c>
      <c r="M137" s="12"/>
      <c r="N137" s="12"/>
      <c r="O137" s="12"/>
    </row>
    <row r="138" customFormat="false" ht="32.8" hidden="false" customHeight="false" outlineLevel="0" collapsed="false">
      <c r="A138" s="12" t="s">
        <v>798</v>
      </c>
      <c r="B138" s="12" t="s">
        <v>21</v>
      </c>
      <c r="C138" s="12" t="s">
        <v>793</v>
      </c>
      <c r="D138" s="12" t="s">
        <v>27</v>
      </c>
      <c r="E138" s="12" t="s">
        <v>70</v>
      </c>
      <c r="F138" s="12" t="s">
        <v>799</v>
      </c>
      <c r="G138" s="12" t="s">
        <v>800</v>
      </c>
      <c r="H138" s="12" t="s">
        <v>801</v>
      </c>
      <c r="I138" s="12" t="s">
        <v>172</v>
      </c>
      <c r="J138" s="12" t="s">
        <v>802</v>
      </c>
      <c r="K138" s="12"/>
      <c r="L138" s="12" t="s">
        <v>56</v>
      </c>
      <c r="M138" s="12"/>
      <c r="N138" s="12"/>
      <c r="O138" s="12"/>
    </row>
    <row r="139" customFormat="false" ht="22.35" hidden="false" customHeight="false" outlineLevel="0" collapsed="false">
      <c r="A139" s="12" t="s">
        <v>803</v>
      </c>
      <c r="B139" s="12" t="s">
        <v>21</v>
      </c>
      <c r="C139" s="12" t="s">
        <v>804</v>
      </c>
      <c r="D139" s="12" t="s">
        <v>32</v>
      </c>
      <c r="E139" s="12" t="s">
        <v>70</v>
      </c>
      <c r="F139" s="12" t="s">
        <v>805</v>
      </c>
      <c r="G139" s="12" t="s">
        <v>806</v>
      </c>
      <c r="H139" s="12" t="s">
        <v>807</v>
      </c>
      <c r="I139" s="12" t="s">
        <v>172</v>
      </c>
      <c r="J139" s="12" t="s">
        <v>808</v>
      </c>
      <c r="K139" s="12"/>
      <c r="L139" s="12" t="s">
        <v>56</v>
      </c>
      <c r="M139" s="12"/>
      <c r="N139" s="12"/>
      <c r="O139" s="12"/>
    </row>
    <row r="140" customFormat="false" ht="15" hidden="false" customHeight="false" outlineLevel="0" collapsed="false">
      <c r="A140" s="12" t="s">
        <v>809</v>
      </c>
      <c r="B140" s="12" t="s">
        <v>21</v>
      </c>
      <c r="C140" s="12" t="s">
        <v>793</v>
      </c>
      <c r="D140" s="12" t="s">
        <v>30</v>
      </c>
      <c r="E140" s="12" t="s">
        <v>50</v>
      </c>
      <c r="F140" s="12" t="s">
        <v>810</v>
      </c>
      <c r="G140" s="12" t="s">
        <v>811</v>
      </c>
      <c r="H140" s="12" t="s">
        <v>812</v>
      </c>
      <c r="I140" s="12" t="s">
        <v>813</v>
      </c>
      <c r="J140" s="12" t="s">
        <v>814</v>
      </c>
      <c r="K140" s="12"/>
      <c r="L140" s="12" t="s">
        <v>56</v>
      </c>
      <c r="M140" s="12"/>
      <c r="N140" s="12"/>
      <c r="O140" s="12"/>
    </row>
    <row r="141" customFormat="false" ht="32.8" hidden="false" customHeight="false" outlineLevel="0" collapsed="false">
      <c r="A141" s="12" t="s">
        <v>815</v>
      </c>
      <c r="B141" s="12" t="s">
        <v>22</v>
      </c>
      <c r="C141" s="12" t="s">
        <v>816</v>
      </c>
      <c r="D141" s="12" t="s">
        <v>27</v>
      </c>
      <c r="E141" s="12" t="s">
        <v>105</v>
      </c>
      <c r="F141" s="12" t="s">
        <v>817</v>
      </c>
      <c r="G141" s="12" t="s">
        <v>151</v>
      </c>
      <c r="H141" s="12" t="s">
        <v>818</v>
      </c>
      <c r="I141" s="12" t="s">
        <v>819</v>
      </c>
      <c r="J141" s="12" t="s">
        <v>820</v>
      </c>
      <c r="K141" s="12"/>
      <c r="L141" s="12" t="s">
        <v>56</v>
      </c>
      <c r="M141" s="12"/>
      <c r="N141" s="12"/>
      <c r="O141" s="12"/>
    </row>
    <row r="142" customFormat="false" ht="15" hidden="false" customHeight="false" outlineLevel="0" collapsed="false">
      <c r="A142" s="12" t="s">
        <v>821</v>
      </c>
      <c r="B142" s="12" t="s">
        <v>22</v>
      </c>
      <c r="C142" s="12" t="s">
        <v>822</v>
      </c>
      <c r="D142" s="12" t="s">
        <v>27</v>
      </c>
      <c r="E142" s="12" t="s">
        <v>105</v>
      </c>
      <c r="F142" s="12" t="s">
        <v>823</v>
      </c>
      <c r="G142" s="12" t="s">
        <v>824</v>
      </c>
      <c r="H142" s="12" t="s">
        <v>825</v>
      </c>
      <c r="I142" s="12" t="s">
        <v>172</v>
      </c>
      <c r="J142" s="12" t="s">
        <v>826</v>
      </c>
      <c r="K142" s="12"/>
      <c r="L142" s="12" t="s">
        <v>56</v>
      </c>
      <c r="M142" s="12"/>
      <c r="N142" s="12"/>
      <c r="O142" s="12"/>
    </row>
    <row r="143" customFormat="false" ht="15" hidden="false" customHeight="false" outlineLevel="0" collapsed="false">
      <c r="A143" s="12" t="s">
        <v>827</v>
      </c>
      <c r="B143" s="12" t="s">
        <v>22</v>
      </c>
      <c r="C143" s="12" t="s">
        <v>822</v>
      </c>
      <c r="D143" s="12" t="s">
        <v>28</v>
      </c>
      <c r="E143" s="12" t="s">
        <v>70</v>
      </c>
      <c r="F143" s="12" t="s">
        <v>828</v>
      </c>
      <c r="G143" s="12" t="s">
        <v>829</v>
      </c>
      <c r="H143" s="12" t="s">
        <v>830</v>
      </c>
      <c r="I143" s="12" t="s">
        <v>831</v>
      </c>
      <c r="J143" s="12" t="s">
        <v>832</v>
      </c>
      <c r="K143" s="12"/>
      <c r="L143" s="12" t="s">
        <v>56</v>
      </c>
      <c r="M143" s="12"/>
      <c r="N143" s="12"/>
      <c r="O143" s="12"/>
    </row>
    <row r="144" customFormat="false" ht="15" hidden="false" customHeight="false" outlineLevel="0" collapsed="false">
      <c r="A144" s="12" t="s">
        <v>833</v>
      </c>
      <c r="B144" s="12" t="s">
        <v>22</v>
      </c>
      <c r="C144" s="12" t="s">
        <v>822</v>
      </c>
      <c r="D144" s="12" t="s">
        <v>28</v>
      </c>
      <c r="E144" s="12" t="s">
        <v>70</v>
      </c>
      <c r="F144" s="12" t="s">
        <v>834</v>
      </c>
      <c r="G144" s="12" t="s">
        <v>835</v>
      </c>
      <c r="H144" s="12" t="s">
        <v>836</v>
      </c>
      <c r="I144" s="12" t="s">
        <v>172</v>
      </c>
      <c r="J144" s="12" t="s">
        <v>837</v>
      </c>
      <c r="K144" s="12"/>
      <c r="L144" s="12" t="s">
        <v>56</v>
      </c>
      <c r="M144" s="12"/>
      <c r="N144" s="12"/>
      <c r="O144" s="12"/>
    </row>
    <row r="145" customFormat="false" ht="22.35" hidden="false" customHeight="false" outlineLevel="0" collapsed="false">
      <c r="A145" s="12" t="s">
        <v>838</v>
      </c>
      <c r="B145" s="12" t="s">
        <v>22</v>
      </c>
      <c r="C145" s="12" t="s">
        <v>839</v>
      </c>
      <c r="D145" s="12" t="s">
        <v>27</v>
      </c>
      <c r="E145" s="12" t="s">
        <v>70</v>
      </c>
      <c r="F145" s="12" t="s">
        <v>840</v>
      </c>
      <c r="G145" s="12" t="s">
        <v>841</v>
      </c>
      <c r="H145" s="12" t="s">
        <v>842</v>
      </c>
      <c r="I145" s="12" t="s">
        <v>843</v>
      </c>
      <c r="J145" s="12" t="s">
        <v>844</v>
      </c>
      <c r="K145" s="12"/>
      <c r="L145" s="12" t="s">
        <v>56</v>
      </c>
      <c r="M145" s="12"/>
      <c r="N145" s="12"/>
      <c r="O145" s="12" t="s">
        <v>845</v>
      </c>
    </row>
    <row r="146" customFormat="false" ht="15" hidden="false" customHeight="false" outlineLevel="0" collapsed="false">
      <c r="A146" s="12" t="s">
        <v>846</v>
      </c>
      <c r="B146" s="12" t="s">
        <v>22</v>
      </c>
      <c r="C146" s="12" t="s">
        <v>315</v>
      </c>
      <c r="D146" s="12" t="s">
        <v>30</v>
      </c>
      <c r="E146" s="12" t="s">
        <v>70</v>
      </c>
      <c r="F146" s="12" t="s">
        <v>847</v>
      </c>
      <c r="G146" s="12" t="s">
        <v>317</v>
      </c>
      <c r="H146" s="12" t="s">
        <v>848</v>
      </c>
      <c r="I146" s="12" t="s">
        <v>172</v>
      </c>
      <c r="J146" s="12" t="s">
        <v>320</v>
      </c>
      <c r="K146" s="12"/>
      <c r="L146" s="12" t="s">
        <v>56</v>
      </c>
      <c r="M146" s="12"/>
      <c r="N146" s="12"/>
      <c r="O146" s="12"/>
    </row>
    <row r="147" customFormat="false" ht="22.35" hidden="false" customHeight="false" outlineLevel="0" collapsed="false">
      <c r="A147" s="12" t="s">
        <v>849</v>
      </c>
      <c r="B147" s="12" t="s">
        <v>23</v>
      </c>
      <c r="C147" s="12" t="s">
        <v>480</v>
      </c>
      <c r="D147" s="12" t="s">
        <v>28</v>
      </c>
      <c r="E147" s="12" t="s">
        <v>70</v>
      </c>
      <c r="F147" s="12" t="s">
        <v>850</v>
      </c>
      <c r="G147" s="12" t="s">
        <v>151</v>
      </c>
      <c r="H147" s="12" t="s">
        <v>851</v>
      </c>
      <c r="I147" s="12" t="s">
        <v>852</v>
      </c>
      <c r="J147" s="12" t="s">
        <v>853</v>
      </c>
      <c r="K147" s="12"/>
      <c r="L147" s="12" t="s">
        <v>56</v>
      </c>
      <c r="M147" s="12"/>
      <c r="N147" s="12"/>
      <c r="O147" s="12"/>
    </row>
    <row r="148" customFormat="false" ht="22.35" hidden="false" customHeight="false" outlineLevel="0" collapsed="false">
      <c r="A148" s="12" t="s">
        <v>854</v>
      </c>
      <c r="B148" s="12" t="s">
        <v>23</v>
      </c>
      <c r="C148" s="12" t="s">
        <v>649</v>
      </c>
      <c r="D148" s="12" t="s">
        <v>30</v>
      </c>
      <c r="E148" s="12" t="s">
        <v>50</v>
      </c>
      <c r="F148" s="12" t="s">
        <v>855</v>
      </c>
      <c r="G148" s="12" t="s">
        <v>59</v>
      </c>
      <c r="H148" s="12" t="s">
        <v>856</v>
      </c>
      <c r="I148" s="12" t="s">
        <v>172</v>
      </c>
      <c r="J148" s="12" t="s">
        <v>857</v>
      </c>
      <c r="K148" s="12"/>
      <c r="L148" s="12" t="s">
        <v>56</v>
      </c>
      <c r="M148" s="12"/>
      <c r="N148" s="12"/>
      <c r="O148" s="12" t="s">
        <v>858</v>
      </c>
    </row>
    <row r="149" customFormat="false" ht="22.35" hidden="false" customHeight="false" outlineLevel="0" collapsed="false">
      <c r="A149" s="12" t="s">
        <v>859</v>
      </c>
      <c r="B149" s="12" t="s">
        <v>23</v>
      </c>
      <c r="C149" s="12" t="s">
        <v>649</v>
      </c>
      <c r="D149" s="12" t="s">
        <v>30</v>
      </c>
      <c r="E149" s="12" t="s">
        <v>50</v>
      </c>
      <c r="F149" s="12" t="s">
        <v>860</v>
      </c>
      <c r="G149" s="12" t="s">
        <v>861</v>
      </c>
      <c r="H149" s="12" t="s">
        <v>862</v>
      </c>
      <c r="I149" s="12" t="s">
        <v>863</v>
      </c>
      <c r="J149" s="12" t="s">
        <v>864</v>
      </c>
      <c r="K149" s="12"/>
      <c r="L149" s="12" t="s">
        <v>56</v>
      </c>
      <c r="M149" s="12"/>
      <c r="N149" s="12"/>
      <c r="O149" s="12" t="s">
        <v>865</v>
      </c>
    </row>
    <row r="150" customFormat="false" ht="22.35" hidden="false" customHeight="false" outlineLevel="0" collapsed="false">
      <c r="A150" s="12" t="s">
        <v>866</v>
      </c>
      <c r="B150" s="12" t="s">
        <v>23</v>
      </c>
      <c r="C150" s="12" t="s">
        <v>804</v>
      </c>
      <c r="D150" s="12" t="s">
        <v>30</v>
      </c>
      <c r="E150" s="12" t="s">
        <v>70</v>
      </c>
      <c r="F150" s="12" t="s">
        <v>867</v>
      </c>
      <c r="G150" s="12" t="s">
        <v>861</v>
      </c>
      <c r="H150" s="12" t="s">
        <v>868</v>
      </c>
      <c r="I150" s="12" t="s">
        <v>172</v>
      </c>
      <c r="J150" s="12" t="s">
        <v>869</v>
      </c>
      <c r="K150" s="12"/>
      <c r="L150" s="12" t="s">
        <v>56</v>
      </c>
      <c r="M150" s="12"/>
      <c r="N150" s="12"/>
      <c r="O150" s="12" t="s">
        <v>870</v>
      </c>
    </row>
    <row r="151" customFormat="false" ht="22.35" hidden="false" customHeight="false" outlineLevel="0" collapsed="false">
      <c r="A151" s="12" t="s">
        <v>871</v>
      </c>
      <c r="B151" s="12" t="s">
        <v>23</v>
      </c>
      <c r="C151" s="12" t="s">
        <v>315</v>
      </c>
      <c r="D151" s="12" t="s">
        <v>30</v>
      </c>
      <c r="E151" s="12" t="s">
        <v>50</v>
      </c>
      <c r="F151" s="12" t="s">
        <v>872</v>
      </c>
      <c r="G151" s="12" t="s">
        <v>317</v>
      </c>
      <c r="H151" s="12" t="s">
        <v>873</v>
      </c>
      <c r="I151" s="12" t="s">
        <v>172</v>
      </c>
      <c r="J151" s="12" t="s">
        <v>874</v>
      </c>
      <c r="K151" s="12"/>
      <c r="L151" s="12" t="s">
        <v>56</v>
      </c>
      <c r="M151" s="12"/>
      <c r="N151" s="12"/>
      <c r="O151" s="12"/>
    </row>
    <row r="152" customFormat="false" ht="43.25" hidden="false" customHeight="false" outlineLevel="0" collapsed="false">
      <c r="A152" s="12" t="s">
        <v>875</v>
      </c>
      <c r="B152" s="12" t="s">
        <v>23</v>
      </c>
      <c r="C152" s="12" t="s">
        <v>876</v>
      </c>
      <c r="D152" s="12" t="s">
        <v>32</v>
      </c>
      <c r="E152" s="12" t="s">
        <v>70</v>
      </c>
      <c r="F152" s="12" t="s">
        <v>877</v>
      </c>
      <c r="G152" s="12" t="s">
        <v>878</v>
      </c>
      <c r="H152" s="12" t="s">
        <v>879</v>
      </c>
      <c r="I152" s="12" t="s">
        <v>172</v>
      </c>
      <c r="J152" s="12" t="s">
        <v>880</v>
      </c>
      <c r="K152" s="12"/>
      <c r="L152" s="12" t="s">
        <v>56</v>
      </c>
      <c r="M152" s="12"/>
      <c r="N152" s="12"/>
      <c r="O152" s="12"/>
    </row>
  </sheetData>
  <autoFilter ref="A1:O152"/>
  <conditionalFormatting sqref="L2:L152">
    <cfRule type="cellIs" priority="2" operator="equal" aboveAverage="0" equalAverage="0" bottom="0" percent="0" rank="0" text="" dxfId="3">
      <formula>"Aprobado"</formula>
    </cfRule>
    <cfRule type="cellIs" priority="3" operator="equal" aboveAverage="0" equalAverage="0" bottom="0" percent="0" rank="0" text="" dxfId="4">
      <formula>"Fallido"</formula>
    </cfRule>
    <cfRule type="cellIs" priority="4" operator="equal" aboveAverage="0" equalAverage="0" bottom="0" percent="0" rank="0" text="" dxfId="5">
      <formula>"Bloqueado"</formula>
    </cfRule>
  </conditionalFormatting>
  <dataValidations count="1">
    <dataValidation allowBlank="false" errorStyle="stop" operator="between" showDropDown="false" showErrorMessage="false" showInputMessage="false" sqref="L2:L152" type="list">
      <formula1>"Pendiente,Aprobado,Fallido,Bloqueado"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2026-10-09T19:39:14Z</dcterms:created>
  <dc:creator>openpyxl</dc:creator>
  <dc:description/>
  <dc:language>en-US</dc:language>
  <cp:lastModifiedBy/>
  <dcterms:modified xsi:type="dcterms:W3CDTF">2026-10-09T19:39:14Z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